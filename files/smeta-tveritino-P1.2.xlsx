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Смета" sheetId="2" state="visible" r:id="rId4"/>
    <sheet name="Опции" sheetId="3" state="visible" r:id="rId5"/>
    <sheet name="Площад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Типичная наценка генподрядчика 7–12 %. При раздельных подрядах — технадзор уже в разделе 0.</t>
        </r>
      </text>
    </comment>
  </commentList>
</comments>
</file>

<file path=xl/sharedStrings.xml><?xml version="1.0" encoding="utf-8"?>
<sst xmlns="http://schemas.openxmlformats.org/spreadsheetml/2006/main" count="612" uniqueCount="397">
  <si>
    <t xml:space="preserve">Сводка сметы</t>
  </si>
  <si>
    <t xml:space="preserve">Дом 596,6 м² по наружному контуру (отапливаемая 561 м²) — редакция П1.2 + благоустройство 1 200 м²</t>
  </si>
  <si>
    <t xml:space="preserve">Параметр</t>
  </si>
  <si>
    <t xml:space="preserve">Значение</t>
  </si>
  <si>
    <t xml:space="preserve">Площадь дома по наружному контуру, м²</t>
  </si>
  <si>
    <t xml:space="preserve">Отапливаемая площадь, м²</t>
  </si>
  <si>
    <t xml:space="preserve">Генподряд / управление стройкой, %</t>
  </si>
  <si>
    <t xml:space="preserve">Резерв на непредвиденное, %</t>
  </si>
  <si>
    <t xml:space="preserve">Раздел</t>
  </si>
  <si>
    <t xml:space="preserve">Мин, ₽</t>
  </si>
  <si>
    <t xml:space="preserve">База, ₽</t>
  </si>
  <si>
    <t xml:space="preserve">Макс, ₽</t>
  </si>
  <si>
    <t xml:space="preserve">Доля базы</t>
  </si>
  <si>
    <t xml:space="preserve">0. Изыскания и проект</t>
  </si>
  <si>
    <t xml:space="preserve">1. Подготовка участка</t>
  </si>
  <si>
    <t xml:space="preserve">2. Фундамент, цоколь, чаша бассейна</t>
  </si>
  <si>
    <t xml:space="preserve">3. Коробка, кровля, фасад, окна</t>
  </si>
  <si>
    <t xml:space="preserve">4. Инженерные системы дома</t>
  </si>
  <si>
    <t xml:space="preserve">5. SPA и бассейн</t>
  </si>
  <si>
    <t xml:space="preserve">6. Внутренняя отделка</t>
  </si>
  <si>
    <t xml:space="preserve">7. Кухня и встроенная мебель</t>
  </si>
  <si>
    <t xml:space="preserve">8. Наружные сети и подключения</t>
  </si>
  <si>
    <t xml:space="preserve">9. Благоустройство</t>
  </si>
  <si>
    <t xml:space="preserve">10. Прочие затраты стройки</t>
  </si>
  <si>
    <t xml:space="preserve">Итого прямые затраты</t>
  </si>
  <si>
    <t xml:space="preserve">Генподряд / управление</t>
  </si>
  <si>
    <t xml:space="preserve">Резерв на непредвиденное</t>
  </si>
  <si>
    <t xml:space="preserve">ВСЕГО ПО ПРОЕКТУ</t>
  </si>
  <si>
    <t xml:space="preserve">На 1 м² дома (всё, вкл. участок)</t>
  </si>
  <si>
    <t xml:space="preserve">Не входит: мебель (кроме кухни и встроенной), шторы, ТВ и аудио, декор, ландшафт сверх списка, стоимость земли, кредит.</t>
  </si>
  <si>
    <t xml:space="preserve">Сценарий отопления — магистральный газ. Если газа нет — лист «Опции», строка «Тепловой насос».</t>
  </si>
  <si>
    <t xml:space="preserve">Цены — средний рынок Москвы и МО на IV кв. 2026 (материалы + работы). Перед тендером пересчитать по рабочему проекту и 3 КП.</t>
  </si>
  <si>
    <t xml:space="preserve">Ориентир рынка: средняя стоимость ИЖС в МО в 2026 г. — 113 тыс. ₽/м² (Noco/ТАСС, май 2026); дом этого класса с SPA закономерно выше.</t>
  </si>
  <si>
    <t xml:space="preserve">Укрупнённая смета — редакция П1.2 — дом и участок, Тверитино (КН 50:32:0030118:1930). Цены Москва/МО, IV кв. 2026, материалы + работы, без НДС подрядчиков-ИП</t>
  </si>
  <si>
    <t xml:space="preserve">Синие цифры — исходные данные (можно менять), чёрные — формулы. К мин / К макс — диапазон по рынку для позиции.</t>
  </si>
  <si>
    <t xml:space="preserve">№</t>
  </si>
  <si>
    <t xml:space="preserve">Наименование работ и затрат</t>
  </si>
  <si>
    <t xml:space="preserve">Ед.</t>
  </si>
  <si>
    <t xml:space="preserve">Кол-во</t>
  </si>
  <si>
    <t xml:space="preserve">Цена база, ₽</t>
  </si>
  <si>
    <t xml:space="preserve">Сумма база, ₽</t>
  </si>
  <si>
    <t xml:space="preserve">К мин</t>
  </si>
  <si>
    <t xml:space="preserve">К макс</t>
  </si>
  <si>
    <t xml:space="preserve">Сумма мин, ₽</t>
  </si>
  <si>
    <t xml:space="preserve">Сумма макс, ₽</t>
  </si>
  <si>
    <t xml:space="preserve">Основание / примечание</t>
  </si>
  <si>
    <t xml:space="preserve">0.1</t>
  </si>
  <si>
    <t xml:space="preserve">Топосъёмка 1:500 с подземными коммуникациями</t>
  </si>
  <si>
    <t xml:space="preserve">компл</t>
  </si>
  <si>
    <t xml:space="preserve">Привязать СТП/ВЛ 10 кВ и охранные зоны</t>
  </si>
  <si>
    <t xml:space="preserve">0.2</t>
  </si>
  <si>
    <t xml:space="preserve">Инженерно-геологические изыскания (3 скважины 8–10 м, лаборатория)</t>
  </si>
  <si>
    <t xml:space="preserve">Обязательно до проекта цоколя и бассейна</t>
  </si>
  <si>
    <t xml:space="preserve">0.3</t>
  </si>
  <si>
    <t xml:space="preserve">Архитектурный и конструктивный проект (АР, КР, рабочка)</t>
  </si>
  <si>
    <t xml:space="preserve">м²</t>
  </si>
  <si>
    <t xml:space="preserve">Площадь по наружному контуру</t>
  </si>
  <si>
    <t xml:space="preserve">0.4</t>
  </si>
  <si>
    <t xml:space="preserve">Проекты инженерных систем (ОВиК, ВК, ЭОМ, СС, бассейн, автоматика)</t>
  </si>
  <si>
    <t xml:space="preserve">0.5</t>
  </si>
  <si>
    <t xml:space="preserve">Ландшафтный проект + дендроплан: что сохраняем, что и куда пересаживаем</t>
  </si>
  <si>
    <t xml:space="preserve">0.6</t>
  </si>
  <si>
    <t xml:space="preserve">Анализ поверхностного стока и проект ливневого водоотвода</t>
  </si>
  <si>
    <t xml:space="preserve">До благоустройства</t>
  </si>
  <si>
    <t xml:space="preserve">0.7</t>
  </si>
  <si>
    <t xml:space="preserve">Обследование колодца: дебит, химический и бак. анализ, ТВ-осмотр</t>
  </si>
  <si>
    <t xml:space="preserve">Решение: колодец / скважина / оба</t>
  </si>
  <si>
    <t xml:space="preserve">0.8</t>
  </si>
  <si>
    <t xml:space="preserve">Технический надзор за стройкой (12 мес.)</t>
  </si>
  <si>
    <t xml:space="preserve">мес</t>
  </si>
  <si>
    <t xml:space="preserve">0.9</t>
  </si>
  <si>
    <t xml:space="preserve">Геодезическая разбивка и исполнительные съёмки</t>
  </si>
  <si>
    <t xml:space="preserve">1.1</t>
  </si>
  <si>
    <t xml:space="preserve">Срезка растительного слоя, планировка пятна застройки</t>
  </si>
  <si>
    <t xml:space="preserve">1.2</t>
  </si>
  <si>
    <t xml:space="preserve">Разработка котлована цоколя и вывоз грунта</t>
  </si>
  <si>
    <t xml:space="preserve">м³</t>
  </si>
  <si>
    <t xml:space="preserve">Котлован ~9×11×3,2 м + корыто плиты</t>
  </si>
  <si>
    <t xml:space="preserve">1.3</t>
  </si>
  <si>
    <t xml:space="preserve">Временные сооружения, электричество и вода стройки, бытовка</t>
  </si>
  <si>
    <t xml:space="preserve">1.4</t>
  </si>
  <si>
    <t xml:space="preserve">Пересадка розария, 6 шаровидных туй и мешающих деревьев</t>
  </si>
  <si>
    <t xml:space="preserve">По дендроплану</t>
  </si>
  <si>
    <t xml:space="preserve">1.5</t>
  </si>
  <si>
    <t xml:space="preserve">Временная защита туй и деревьев на время стройки</t>
  </si>
  <si>
    <t xml:space="preserve">2.1</t>
  </si>
  <si>
    <t xml:space="preserve">Монолитная утеплённая плита 300 мм (подушка, ЭППС 100, гидроизоляция, B25)</t>
  </si>
  <si>
    <t xml:space="preserve">Под 1 этажом без цоколя</t>
  </si>
  <si>
    <t xml:space="preserve">2.2</t>
  </si>
  <si>
    <t xml:space="preserve">Цоколь: монолитные стены 250 мм и плита, 2-слойная гидроизоляция, ЭППС, пристенный дренаж</t>
  </si>
  <si>
    <t xml:space="preserve">м² цоколя</t>
  </si>
  <si>
    <t xml:space="preserve">Цена зависит от УГВ — геология</t>
  </si>
  <si>
    <t xml:space="preserve">2.3</t>
  </si>
  <si>
    <t xml:space="preserve">Монолитная чаша бассейна 4,0×2,5×1,4 м (B30 W8, гидрошпонки, закладные)</t>
  </si>
  <si>
    <t xml:space="preserve">2.4</t>
  </si>
  <si>
    <t xml:space="preserve">Приямок и шахта малого грузового подъёмника</t>
  </si>
  <si>
    <t xml:space="preserve">2.5</t>
  </si>
  <si>
    <t xml:space="preserve">Наружный хозвход в цоколь: приямок, лестница, утеплённая дверь, водоотвод</t>
  </si>
  <si>
    <t xml:space="preserve">Со стороны гаража</t>
  </si>
  <si>
    <t xml:space="preserve">3.1</t>
  </si>
  <si>
    <t xml:space="preserve">Наружные стены — газобетон D500 400 мм (кладка, армирование, армопояса, перемычки)</t>
  </si>
  <si>
    <t xml:space="preserve">Площадь стен по контуру минус ничего (запас)</t>
  </si>
  <si>
    <t xml:space="preserve">3.2</t>
  </si>
  <si>
    <t xml:space="preserve">Внутренние несущие стены и перегородки (газобетон 150–300, кирпич в мокрых зонах)</t>
  </si>
  <si>
    <t xml:space="preserve">3.3</t>
  </si>
  <si>
    <t xml:space="preserve">Акустические доп. обшивки: кабинет, спальни, игровая, стена SPA–холл</t>
  </si>
  <si>
    <t xml:space="preserve">2×ГКЛ на независимом каркасе + минвата</t>
  </si>
  <si>
    <t xml:space="preserve">3.4</t>
  </si>
  <si>
    <t xml:space="preserve">Монолитные перекрытия 200 мм (над цоколем, 1 и 2 этажом, SPA, гаражом)</t>
  </si>
  <si>
    <t xml:space="preserve">3.5</t>
  </si>
  <si>
    <t xml:space="preserve">Усиление перекрытия гаража: закладные под подъёмники, балка под стену 2 этажа</t>
  </si>
  <si>
    <t xml:space="preserve">3.6</t>
  </si>
  <si>
    <t xml:space="preserve">Монолитная П-образная лестница + марш в цоколь (каркас)</t>
  </si>
  <si>
    <t xml:space="preserve">3.7</t>
  </si>
  <si>
    <t xml:space="preserve">Кровля: стропила, утепление 250 мм, мембраны, фальц 0,6–0,7 мм, снегозадержатели 2 ряда, водосток с обогревом</t>
  </si>
  <si>
    <t xml:space="preserve">Вальма 20° + два ската 10°</t>
  </si>
  <si>
    <t xml:space="preserve">3.8</t>
  </si>
  <si>
    <t xml:space="preserve">Фасад: утепление 50 мм + облицовочный кирпич / вентфасад с планкеном</t>
  </si>
  <si>
    <t xml:space="preserve">3.9</t>
  </si>
  <si>
    <t xml:space="preserve">Окна ПВХ/алюм-дерево, 3-камерный стеклопакет, тёплый монтаж</t>
  </si>
  <si>
    <t xml:space="preserve">3.10</t>
  </si>
  <si>
    <t xml:space="preserve">Панорамное остекление: тёплый алюминий, HS-порталы, солнцезащитное стекло</t>
  </si>
  <si>
    <t xml:space="preserve">Гостиная + SPA</t>
  </si>
  <si>
    <t xml:space="preserve">3.11</t>
  </si>
  <si>
    <t xml:space="preserve">Секционные ворота гаража 3,0×2,75 м, утеплённые, с приводом</t>
  </si>
  <si>
    <t xml:space="preserve">шт</t>
  </si>
  <si>
    <t xml:space="preserve">3.12</t>
  </si>
  <si>
    <t xml:space="preserve">Входная дверь с терморазрывом</t>
  </si>
  <si>
    <t xml:space="preserve">3.13</t>
  </si>
  <si>
    <t xml:space="preserve">Наружные технические двери (SPA, хозблок, котельная, гараж)</t>
  </si>
  <si>
    <t xml:space="preserve">3.14</t>
  </si>
  <si>
    <t xml:space="preserve">Утеплённая отмостка</t>
  </si>
  <si>
    <t xml:space="preserve">3.15</t>
  </si>
  <si>
    <t xml:space="preserve">Чердак: ходовой настил, освещение, розетки, утеплённый люк с лестницей</t>
  </si>
  <si>
    <t xml:space="preserve">Сервис без хождения по утеплителю</t>
  </si>
  <si>
    <t xml:space="preserve">4.1</t>
  </si>
  <si>
    <t xml:space="preserve">Электрика: ГРЩ, кабели с запасом, розетки, освещение</t>
  </si>
  <si>
    <t xml:space="preserve">Отапливаемая площадь</t>
  </si>
  <si>
    <t xml:space="preserve">4.2</t>
  </si>
  <si>
    <t xml:space="preserve">Слаботочка: Ethernet ~40 точек, 10 камер, охрана, СКУД ворот</t>
  </si>
  <si>
    <t xml:space="preserve">4.3</t>
  </si>
  <si>
    <t xml:space="preserve">Локальная автоматизация (работает без интернета): свет, климат, шторы, протечки, SPA, ворота</t>
  </si>
  <si>
    <t xml:space="preserve">4.4</t>
  </si>
  <si>
    <t xml:space="preserve">Резервное питание: генератор 12–15 кВт с АВР</t>
  </si>
  <si>
    <t xml:space="preserve">Зимние отключения в МО</t>
  </si>
  <si>
    <t xml:space="preserve">4.5</t>
  </si>
  <si>
    <t xml:space="preserve">Отопление: газовый конденсационный котёл ~60 кВт, БКН 300 л, тёплые полы 1 эт. и с/у, конвекторы 2 эт., теплообменник бассейна</t>
  </si>
  <si>
    <t xml:space="preserve">Сценарий с магистральным газом</t>
  </si>
  <si>
    <t xml:space="preserve">4.6</t>
  </si>
  <si>
    <t xml:space="preserve">Приточно-вытяжная вентиляция жилой части с рекуператором 1000–1200 м³/ч</t>
  </si>
  <si>
    <t xml:space="preserve">Агрегат в чердаке</t>
  </si>
  <si>
    <t xml:space="preserve">4.7</t>
  </si>
  <si>
    <t xml:space="preserve">Осушение и вентиляция SPA (осушитель-ПВУ бассейна), отдельная вытяжка сауны</t>
  </si>
  <si>
    <t xml:space="preserve">Отдельный контур от жилой части</t>
  </si>
  <si>
    <t xml:space="preserve">4.8</t>
  </si>
  <si>
    <t xml:space="preserve">Вытяжки для курения: кабинет и лаунж SPA (с подпором), кухонная вытяжка</t>
  </si>
  <si>
    <t xml:space="preserve">4.9</t>
  </si>
  <si>
    <t xml:space="preserve">Канальное кондиционирование 7–8 зон (мини-VRF, скрытые блоки)</t>
  </si>
  <si>
    <t xml:space="preserve">4.10</t>
  </si>
  <si>
    <t xml:space="preserve">Источник воды: скважина 60–80 м ИЛИ доработка колодца</t>
  </si>
  <si>
    <t xml:space="preserve">Резерв; решение после обследования колодца</t>
  </si>
  <si>
    <t xml:space="preserve">4.11</t>
  </si>
  <si>
    <t xml:space="preserve">Водоподготовка: обезжелезивание, умягчение, УФ</t>
  </si>
  <si>
    <t xml:space="preserve">По анализу воды</t>
  </si>
  <si>
    <t xml:space="preserve">4.12</t>
  </si>
  <si>
    <t xml:space="preserve">Внутренний водопровод и канализация</t>
  </si>
  <si>
    <t xml:space="preserve">точка</t>
  </si>
  <si>
    <t xml:space="preserve">4.13</t>
  </si>
  <si>
    <t xml:space="preserve">Канализационная насосная станция для цоколя</t>
  </si>
  <si>
    <t xml:space="preserve">4.14</t>
  </si>
  <si>
    <t xml:space="preserve">Сантехника: инсталляции, смесители, тропические души, ванна</t>
  </si>
  <si>
    <t xml:space="preserve">Средне-высокий сегмент</t>
  </si>
  <si>
    <t xml:space="preserve">4.15</t>
  </si>
  <si>
    <t xml:space="preserve">Бельепровод (нержавеющая труба Ø400, 2 люка)</t>
  </si>
  <si>
    <t xml:space="preserve">4.16</t>
  </si>
  <si>
    <t xml:space="preserve">Малый грузовой подъёмник 40 кг, 3 остановки (цоколь — кухня — бельевой узел)</t>
  </si>
  <si>
    <t xml:space="preserve">4.17</t>
  </si>
  <si>
    <t xml:space="preserve">Аквариум: усиленное основание, подвод воды, слив, отдельная линия питания</t>
  </si>
  <si>
    <t xml:space="preserve">Стена SPA, на плите по грунту</t>
  </si>
  <si>
    <t xml:space="preserve">4.18</t>
  </si>
  <si>
    <t xml:space="preserve">Подготовка под зарядку электромобиля 11–22 кВт (трасса, автомат, место)</t>
  </si>
  <si>
    <t xml:space="preserve">Сама станция — позже</t>
  </si>
  <si>
    <t xml:space="preserve">5.1</t>
  </si>
  <si>
    <t xml:space="preserve">Оборудование бассейна: фильтрация, насосы, дозирование, УФ, гидромассаж, подсветка</t>
  </si>
  <si>
    <t xml:space="preserve">5.2</t>
  </si>
  <si>
    <t xml:space="preserve">Отделка чаши мозаикой и обходных дорожек</t>
  </si>
  <si>
    <t xml:space="preserve">5.3</t>
  </si>
  <si>
    <t xml:space="preserve">Автоматическое покрытие бассейна (снижает испарение и нагрузку на осушитель)</t>
  </si>
  <si>
    <t xml:space="preserve">5.4</t>
  </si>
  <si>
    <t xml:space="preserve">Сауна 2,6×2,6 м под ключ: печь 12 кВт с удалённым запуском, тонированное стекло в сад</t>
  </si>
  <si>
    <t xml:space="preserve">5.5</t>
  </si>
  <si>
    <t xml:space="preserve">Душевая зона после сауны: тропический душ + обливное ведро</t>
  </si>
  <si>
    <t xml:space="preserve">5.6</t>
  </si>
  <si>
    <t xml:space="preserve">Электрокамин с эффектом пара + подготовка под проектор, экран, караоке</t>
  </si>
  <si>
    <t xml:space="preserve">6.1</t>
  </si>
  <si>
    <t xml:space="preserve">Жилые помещения: инженерная доска/кварцвинил, покраска, ГКЛ-потолки с теневым швом</t>
  </si>
  <si>
    <t xml:space="preserve">Площадь пола 1 эт. ядро + 2 эт.</t>
  </si>
  <si>
    <t xml:space="preserve">6.2</t>
  </si>
  <si>
    <t xml:space="preserve">Санузлы и постирочная: гидроизоляция, керамогранит</t>
  </si>
  <si>
    <t xml:space="preserve">6.3</t>
  </si>
  <si>
    <t xml:space="preserve">SPA-зал и раздевалка: керамогранит, влагостойкие потолки, акустика</t>
  </si>
  <si>
    <t xml:space="preserve">6.4</t>
  </si>
  <si>
    <t xml:space="preserve">Гараж, хозблок, котельная, цоколь: полимерный пол, покраска</t>
  </si>
  <si>
    <t xml:space="preserve">6.5</t>
  </si>
  <si>
    <t xml:space="preserve">Облицовка лестницы и ограждения</t>
  </si>
  <si>
    <t xml:space="preserve">6.6</t>
  </si>
  <si>
    <t xml:space="preserve">Межкомнатные двери скрытого монтажа, акустические в кабинет и спальни</t>
  </si>
  <si>
    <t xml:space="preserve">7.1</t>
  </si>
  <si>
    <t xml:space="preserve">Кухня с бытовой техникой</t>
  </si>
  <si>
    <t xml:space="preserve">7.2</t>
  </si>
  <si>
    <t xml:space="preserve">Встроенные шкафы: прихожая, гардеробная, детская, бельевая, кладовые, стеллажи кабинета</t>
  </si>
  <si>
    <t xml:space="preserve">м.п.</t>
  </si>
  <si>
    <t xml:space="preserve">7.3</t>
  </si>
  <si>
    <t xml:space="preserve">Гараж: системы хранения, верстак, потолочные подъёмники бокса, ретракторы</t>
  </si>
  <si>
    <t xml:space="preserve">7.4</t>
  </si>
  <si>
    <t xml:space="preserve">Постирочная: столешница, шкафы, сушильная зона</t>
  </si>
  <si>
    <t xml:space="preserve">8.1</t>
  </si>
  <si>
    <t xml:space="preserve">Техприсоединение электричества 15 кВт (ставка Московской области 2026)</t>
  </si>
  <si>
    <t xml:space="preserve">t-j.ru/connection-price: 23 859,53 ₽/кВт</t>
  </si>
  <si>
    <t xml:space="preserve">8.2</t>
  </si>
  <si>
    <t xml:space="preserve">Доплата за мощность до 25–30 кВт (оценка, уточнить в Россетях МР)</t>
  </si>
  <si>
    <t xml:space="preserve">Мощность &gt;15 кВт — не льготная ставка</t>
  </si>
  <si>
    <t xml:space="preserve">8.3</t>
  </si>
  <si>
    <t xml:space="preserve">Газ на участке: проект, внутриплощадочный газопровод, ввод, счётчик</t>
  </si>
  <si>
    <t xml:space="preserve">Если газ есть в посёлке</t>
  </si>
  <si>
    <t xml:space="preserve">8.4</t>
  </si>
  <si>
    <t xml:space="preserve">ЛОС 1,2–1,5 м³/сут в усиленном корпусе с монтажом</t>
  </si>
  <si>
    <t xml:space="preserve">8.5</t>
  </si>
  <si>
    <t xml:space="preserve">Наружная канализация до ЛОС и отвод очищенной воды</t>
  </si>
  <si>
    <t xml:space="preserve">м</t>
  </si>
  <si>
    <t xml:space="preserve">Точку сброса согласовать</t>
  </si>
  <si>
    <t xml:space="preserve">8.6</t>
  </si>
  <si>
    <t xml:space="preserve">Пристенный дренаж, ливнёвка, пескоуловители, лотки, маслоуловитель мойки</t>
  </si>
  <si>
    <t xml:space="preserve">8.7</t>
  </si>
  <si>
    <t xml:space="preserve">Траншеи: вода от скважины, кабели к воротам, вольеру, освещению, купели</t>
  </si>
  <si>
    <t xml:space="preserve">9.1</t>
  </si>
  <si>
    <t xml:space="preserve">Мощение автодвора и подходов: брусчатка 80 мм на основании 400 мм</t>
  </si>
  <si>
    <t xml:space="preserve">9.2</t>
  </si>
  <si>
    <t xml:space="preserve">Площадка перед гаражом у въезда №1</t>
  </si>
  <si>
    <t xml:space="preserve">Опция: снеготаяние +8 000 ₽/м²</t>
  </si>
  <si>
    <t xml:space="preserve">9.3</t>
  </si>
  <si>
    <t xml:space="preserve">Гостевая парковка на газонной решётке</t>
  </si>
  <si>
    <t xml:space="preserve">5 мест 2,7×5,5 м</t>
  </si>
  <si>
    <t xml:space="preserve">9.4</t>
  </si>
  <si>
    <t xml:space="preserve">Терраса: основание + керамогранит 20 мм на опорах (или ДПК)</t>
  </si>
  <si>
    <t xml:space="preserve">Включая зону BBQ</t>
  </si>
  <si>
    <t xml:space="preserve">9.5</t>
  </si>
  <si>
    <t xml:space="preserve">Биоклиматическая пергола с ламелями, рассчитанная на снег</t>
  </si>
  <si>
    <t xml:space="preserve">9.6</t>
  </si>
  <si>
    <t xml:space="preserve">Навес над выходом из SPA и купелью</t>
  </si>
  <si>
    <t xml:space="preserve">9.7</t>
  </si>
  <si>
    <t xml:space="preserve">Купель 2×2 м с подогревом, утеплением, крышкой и подключением</t>
  </si>
  <si>
    <t xml:space="preserve">9.8</t>
  </si>
  <si>
    <t xml:space="preserve">BBQ-блок: мангал, казан, мойка, столешница, хранение, вода и свет</t>
  </si>
  <si>
    <t xml:space="preserve">9.9</t>
  </si>
  <si>
    <t xml:space="preserve">Площадка под тандыр 1,4×1,4 м: негорючее основание, подводка света</t>
  </si>
  <si>
    <t xml:space="preserve">Сам тандыр — позже</t>
  </si>
  <si>
    <t xml:space="preserve">9.10</t>
  </si>
  <si>
    <t xml:space="preserve">Костровая зона: мощение Ø4,6 м, скамья-кольцо, газовый очаг</t>
  </si>
  <si>
    <t xml:space="preserve">9.11</t>
  </si>
  <si>
    <t xml:space="preserve">Взрослые качели с навесом + основание</t>
  </si>
  <si>
    <t xml:space="preserve">9.12</t>
  </si>
  <si>
    <t xml:space="preserve">Детская зона: башня с горкой, детские качели, линия воркаута, резиновое покрытие, перенос батута</t>
  </si>
  <si>
    <t xml:space="preserve">9.13</t>
  </si>
  <si>
    <t xml:space="preserve">Вольер и собачий туалет: каркас, крыша, утеплённая будка, обогрев, поилка, свет, камера, автокормушка</t>
  </si>
  <si>
    <t xml:space="preserve">9.14</t>
  </si>
  <si>
    <t xml:space="preserve">Баскетбольная стойка с бетонированием + сетка-ловушка за щитом</t>
  </si>
  <si>
    <t xml:space="preserve">9.15</t>
  </si>
  <si>
    <t xml:space="preserve">Гильзы в грунте под съёмные стойки сетки бадминтона/волейбола</t>
  </si>
  <si>
    <t xml:space="preserve">9.16</t>
  </si>
  <si>
    <t xml:space="preserve">Шумозащитный экран техдвора (ламели + акустические панели, сервисная калитка)</t>
  </si>
  <si>
    <t xml:space="preserve">9.17</t>
  </si>
  <si>
    <t xml:space="preserve">Забор-«шлюз» площадки въезда №1 (2 секции + калитка)</t>
  </si>
  <si>
    <t xml:space="preserve">Собака не выбегает при открытых воротах</t>
  </si>
  <si>
    <t xml:space="preserve">9.18</t>
  </si>
  <si>
    <t xml:space="preserve">Моечная точка: катушки ВД и воды, шланг пылесоса, ниша химии, вода и питание</t>
  </si>
  <si>
    <t xml:space="preserve">Kärcher стоит в гараже</t>
  </si>
  <si>
    <t xml:space="preserve">9.19</t>
  </si>
  <si>
    <t xml:space="preserve">Забор по верхней и правой границе и скруглению, h 1,8–2,0 м</t>
  </si>
  <si>
    <t xml:space="preserve">Нижний забор существует — сохраняется</t>
  </si>
  <si>
    <t xml:space="preserve">9.20</t>
  </si>
  <si>
    <t xml:space="preserve">Забор с родителями h 1,8 м + калитка с доводчиком</t>
  </si>
  <si>
    <t xml:space="preserve">Нужен для собаки</t>
  </si>
  <si>
    <t xml:space="preserve">9.21</t>
  </si>
  <si>
    <t xml:space="preserve">Откатные ворота въезда №1, 9,2 м, с автоматикой</t>
  </si>
  <si>
    <t xml:space="preserve">9.22</t>
  </si>
  <si>
    <t xml:space="preserve">Распашные ворота въезда №2, 4,1 м, с автоматикой</t>
  </si>
  <si>
    <t xml:space="preserve">9.23</t>
  </si>
  <si>
    <t xml:space="preserve">Садовые дорожки</t>
  </si>
  <si>
    <t xml:space="preserve">9.24</t>
  </si>
  <si>
    <t xml:space="preserve">Рулонный газон с подготовкой грунта</t>
  </si>
  <si>
    <t xml:space="preserve">9.25</t>
  </si>
  <si>
    <t xml:space="preserve">Автополив</t>
  </si>
  <si>
    <t xml:space="preserve">9.26</t>
  </si>
  <si>
    <t xml:space="preserve">Посадки: 3 колоновидные яблони, груша, ягодники, шпалера, бордюры, многолетники</t>
  </si>
  <si>
    <t xml:space="preserve">9.27</t>
  </si>
  <si>
    <t xml:space="preserve">Наружное освещение ~60 точек со сценариями</t>
  </si>
  <si>
    <t xml:space="preserve">10.1</t>
  </si>
  <si>
    <t xml:space="preserve">Вывоз мусора, контейнеры, уборка за весь срок</t>
  </si>
  <si>
    <t xml:space="preserve">10.2</t>
  </si>
  <si>
    <t xml:space="preserve">Охрана, ресурсы стройки, мелкие непредвиденные работы</t>
  </si>
  <si>
    <t xml:space="preserve">Опции и альтернативы (не входят в итог)</t>
  </si>
  <si>
    <t xml:space="preserve">Δ к бюджету, ₽</t>
  </si>
  <si>
    <t xml:space="preserve">Комментарий</t>
  </si>
  <si>
    <t xml:space="preserve">Тепловой насос воздух–вода ~30 кВт вместо газа (минус газ на участке 450 000)</t>
  </si>
  <si>
    <t xml:space="preserve">Плюс к мощности ещё ~10 кВт</t>
  </si>
  <si>
    <t xml:space="preserve">Снеготаяние площадки въезда №1 (43,8 м²)</t>
  </si>
  <si>
    <t xml:space="preserve">Ворота гаража смотрят на север-восток, там дольше лежит снег</t>
  </si>
  <si>
    <t xml:space="preserve">Стеклянная перегородка между бассейном и лаунжем SPA</t>
  </si>
  <si>
    <t xml:space="preserve">Сухой и прохладный лаунж; меньше нагрузка на осушитель</t>
  </si>
  <si>
    <t xml:space="preserve">Системный дренаж участка — если покажут топосъёмка и геология</t>
  </si>
  <si>
    <t xml:space="preserve">Пристенный дренаж уже в смете</t>
  </si>
  <si>
    <t xml:space="preserve">Дровяной камин с дымоходом в SPA вместо электрокамина</t>
  </si>
  <si>
    <t xml:space="preserve">Солнечные панели 10 кВт на кровле гаража</t>
  </si>
  <si>
    <t xml:space="preserve">Встроенная мультирум-аудиосистема</t>
  </si>
  <si>
    <t xml:space="preserve">Трассы уже заложены в смете</t>
  </si>
  <si>
    <t xml:space="preserve">Подогрев купели тепловым насосом вместо ТЭНа</t>
  </si>
  <si>
    <t xml:space="preserve">Дешевле в эксплуатации</t>
  </si>
  <si>
    <t xml:space="preserve">Солнцезащитные внешние ламели на юго-западный фасад</t>
  </si>
  <si>
    <t xml:space="preserve">Снижает перегрев гостиной</t>
  </si>
  <si>
    <t xml:space="preserve">Помещение</t>
  </si>
  <si>
    <t xml:space="preserve">Площадь, м²</t>
  </si>
  <si>
    <t xml:space="preserve">Цоколь</t>
  </si>
  <si>
    <t xml:space="preserve">0.01</t>
  </si>
  <si>
    <t xml:space="preserve">Постирочная</t>
  </si>
  <si>
    <t xml:space="preserve">0.02</t>
  </si>
  <si>
    <t xml:space="preserve">Лестница</t>
  </si>
  <si>
    <t xml:space="preserve">0.03</t>
  </si>
  <si>
    <t xml:space="preserve">Хозвход с улицы + сезонное хранение</t>
  </si>
  <si>
    <t xml:space="preserve">0.04</t>
  </si>
  <si>
    <t xml:space="preserve">Лобби цоколя</t>
  </si>
  <si>
    <t xml:space="preserve">0.05</t>
  </si>
  <si>
    <t xml:space="preserve">Прохладная кладовая: продукты, морозильник, напитки</t>
  </si>
  <si>
    <t xml:space="preserve">0.06</t>
  </si>
  <si>
    <t xml:space="preserve">Техпомещение: вода, бассейн, электрика</t>
  </si>
  <si>
    <t xml:space="preserve">Итого цоколь (полезная)</t>
  </si>
  <si>
    <t xml:space="preserve">1 этаж</t>
  </si>
  <si>
    <t xml:space="preserve">1.01</t>
  </si>
  <si>
    <t xml:space="preserve">Зал бассейна + лаунж SPA</t>
  </si>
  <si>
    <t xml:space="preserve">1.02</t>
  </si>
  <si>
    <t xml:space="preserve">Раздевалка SPA (вход из дома)</t>
  </si>
  <si>
    <t xml:space="preserve">1.03</t>
  </si>
  <si>
    <t xml:space="preserve">С/у SPA: WC, душ, раковина</t>
  </si>
  <si>
    <t xml:space="preserve">1.04</t>
  </si>
  <si>
    <t xml:space="preserve">Сауна 4–5 чел.</t>
  </si>
  <si>
    <t xml:space="preserve">1.05</t>
  </si>
  <si>
    <t xml:space="preserve">Кухня-гостиная</t>
  </si>
  <si>
    <t xml:space="preserve">1.06</t>
  </si>
  <si>
    <t xml:space="preserve">Лестница (с маршем в цоколь)</t>
  </si>
  <si>
    <t xml:space="preserve">1.07</t>
  </si>
  <si>
    <t xml:space="preserve">Холл</t>
  </si>
  <si>
    <t xml:space="preserve">1.08</t>
  </si>
  <si>
    <t xml:space="preserve">Хозяйственная кладовая</t>
  </si>
  <si>
    <t xml:space="preserve">1.09</t>
  </si>
  <si>
    <t xml:space="preserve">Гостевая спальня</t>
  </si>
  <si>
    <t xml:space="preserve">1.10</t>
  </si>
  <si>
    <t xml:space="preserve">Душ / WC гостевой</t>
  </si>
  <si>
    <t xml:space="preserve">1.11</t>
  </si>
  <si>
    <t xml:space="preserve">Тамбур-прихожая</t>
  </si>
  <si>
    <t xml:space="preserve">1.12</t>
  </si>
  <si>
    <t xml:space="preserve">Гараж 2 авто + мото</t>
  </si>
  <si>
    <t xml:space="preserve">1.13</t>
  </si>
  <si>
    <t xml:space="preserve">Котельная / теплоузел</t>
  </si>
  <si>
    <t xml:space="preserve">1.14</t>
  </si>
  <si>
    <t xml:space="preserve">Хозблок</t>
  </si>
  <si>
    <t xml:space="preserve">Итого 1 этаж (полезная)</t>
  </si>
  <si>
    <t xml:space="preserve">2 этаж</t>
  </si>
  <si>
    <t xml:space="preserve">2.01</t>
  </si>
  <si>
    <t xml:space="preserve">Игровая</t>
  </si>
  <si>
    <t xml:space="preserve">2.02</t>
  </si>
  <si>
    <t xml:space="preserve">Семейный санузел (ванна)</t>
  </si>
  <si>
    <t xml:space="preserve">2.03</t>
  </si>
  <si>
    <t xml:space="preserve">Бельевой узел: бельепровод, подъёмник</t>
  </si>
  <si>
    <t xml:space="preserve">2.04</t>
  </si>
  <si>
    <t xml:space="preserve">2.05</t>
  </si>
  <si>
    <t xml:space="preserve">Комната Насти</t>
  </si>
  <si>
    <t xml:space="preserve">2.06</t>
  </si>
  <si>
    <t xml:space="preserve">Мастер-гардеробная</t>
  </si>
  <si>
    <t xml:space="preserve">2.07</t>
  </si>
  <si>
    <t xml:space="preserve">Мастер-санузел</t>
  </si>
  <si>
    <t xml:space="preserve">2.08</t>
  </si>
  <si>
    <t xml:space="preserve">Коридор</t>
  </si>
  <si>
    <t xml:space="preserve">2.09</t>
  </si>
  <si>
    <t xml:space="preserve">Кабинет</t>
  </si>
  <si>
    <t xml:space="preserve">2.10</t>
  </si>
  <si>
    <t xml:space="preserve">Кладовая-буфер</t>
  </si>
  <si>
    <t xml:space="preserve">2.11</t>
  </si>
  <si>
    <t xml:space="preserve">Спальня Максима</t>
  </si>
  <si>
    <t xml:space="preserve">2.12</t>
  </si>
  <si>
    <t xml:space="preserve">Мастер-спальня</t>
  </si>
  <si>
    <t xml:space="preserve">Итого 2 этаж (полезная)</t>
  </si>
  <si>
    <t xml:space="preserve">По наружному контуру</t>
  </si>
  <si>
    <t xml:space="preserve">1 этаж: SPA-крыло</t>
  </si>
  <si>
    <t xml:space="preserve">1 этаж: жилое ядро</t>
  </si>
  <si>
    <t xml:space="preserve">1 этаж: гараж</t>
  </si>
  <si>
    <t xml:space="preserve">1 этаж: хозблок+котельная</t>
  </si>
  <si>
    <t xml:space="preserve">Итого по наружному контуру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</si>
</sst>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%"/>
    <numFmt numFmtId="167" formatCode="#,##0;\(#,##0\);\-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sz val="9"/>
      <color rgb="FF7A879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A4A55"/>
        <bgColor rgb="FF333399"/>
      </patternFill>
    </fill>
    <fill>
      <patternFill patternType="solid">
        <fgColor rgb="FFFFF2A8"/>
        <bgColor rgb="FFFFFFCC"/>
      </patternFill>
    </fill>
    <fill>
      <patternFill patternType="solid">
        <fgColor rgb="FFE4E9E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790"/>
      <rgbColor rgb="FF9999FF"/>
      <rgbColor rgb="FF993366"/>
      <rgbColor rgb="FFFFFFCC"/>
      <rgbColor rgb="FFE4E9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4A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7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4" t="s">
        <v>3</v>
      </c>
      <c r="C4" s="2"/>
      <c r="D4" s="2"/>
      <c r="E4" s="2"/>
    </row>
    <row r="5" customFormat="false" ht="15" hidden="false" customHeight="false" outlineLevel="0" collapsed="false">
      <c r="A5" s="5" t="s">
        <v>4</v>
      </c>
      <c r="B5" s="6" t="n">
        <v>596.6</v>
      </c>
      <c r="C5" s="2"/>
      <c r="D5" s="2"/>
      <c r="E5" s="2"/>
    </row>
    <row r="6" customFormat="false" ht="15" hidden="false" customHeight="false" outlineLevel="0" collapsed="false">
      <c r="A6" s="5" t="s">
        <v>5</v>
      </c>
      <c r="B6" s="6" t="n">
        <v>561</v>
      </c>
      <c r="C6" s="2"/>
      <c r="D6" s="2"/>
      <c r="E6" s="2"/>
    </row>
    <row r="7" customFormat="false" ht="15" hidden="false" customHeight="false" outlineLevel="0" collapsed="false">
      <c r="A7" s="5" t="s">
        <v>6</v>
      </c>
      <c r="B7" s="7" t="n">
        <v>0.08</v>
      </c>
      <c r="C7" s="2"/>
      <c r="D7" s="2"/>
      <c r="E7" s="2"/>
    </row>
    <row r="8" customFormat="false" ht="15" hidden="false" customHeight="false" outlineLevel="0" collapsed="false">
      <c r="A8" s="5" t="s">
        <v>7</v>
      </c>
      <c r="B8" s="7" t="n">
        <v>0.08</v>
      </c>
      <c r="C8" s="2"/>
      <c r="D8" s="2"/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</row>
    <row r="11" customFormat="false" ht="15" hidden="false" customHeight="false" outlineLevel="0" collapsed="false">
      <c r="A11" s="5" t="s">
        <v>13</v>
      </c>
      <c r="B11" s="8" t="n">
        <f aca="false">SUMIF(Смета!$B$4:$B$118,$A11,Смета!$J$4:$J$118)</f>
        <v>2566436</v>
      </c>
      <c r="C11" s="8" t="n">
        <f aca="false">SUMIF(Смета!$B$4:$B$118,$A11,Смета!$G$4:$G$118)</f>
        <v>3222420</v>
      </c>
      <c r="D11" s="8" t="n">
        <f aca="false">SUMIF(Смета!$B$4:$B$118,$A11,Смета!$K$4:$K$118)</f>
        <v>4690130</v>
      </c>
      <c r="E11" s="9" t="n">
        <f aca="false">C11/$C$22</f>
        <v>0.0329327268710119</v>
      </c>
    </row>
    <row r="12" customFormat="false" ht="15" hidden="false" customHeight="false" outlineLevel="0" collapsed="false">
      <c r="A12" s="5" t="s">
        <v>14</v>
      </c>
      <c r="B12" s="8" t="n">
        <f aca="false">SUMIF(Смета!$B$4:$B$118,$A12,Смета!$J$4:$J$118)</f>
        <v>1072285</v>
      </c>
      <c r="C12" s="8" t="n">
        <f aca="false">SUMIF(Смета!$B$4:$B$118,$A12,Смета!$G$4:$G$118)</f>
        <v>1309100</v>
      </c>
      <c r="D12" s="8" t="n">
        <f aca="false">SUMIF(Смета!$B$4:$B$118,$A12,Смета!$K$4:$K$118)</f>
        <v>1780340</v>
      </c>
      <c r="E12" s="9" t="n">
        <f aca="false">C12/$C$22</f>
        <v>0.0133788372548711</v>
      </c>
    </row>
    <row r="13" customFormat="false" ht="15" hidden="false" customHeight="false" outlineLevel="0" collapsed="false">
      <c r="A13" s="5" t="s">
        <v>15</v>
      </c>
      <c r="B13" s="8" t="n">
        <f aca="false">SUMIF(Смета!$B$4:$B$118,$A13,Смета!$J$4:$J$118)</f>
        <v>9609450</v>
      </c>
      <c r="C13" s="8" t="n">
        <f aca="false">SUMIF(Смета!$B$4:$B$118,$A13,Смета!$G$4:$G$118)</f>
        <v>10775500</v>
      </c>
      <c r="D13" s="8" t="n">
        <f aca="false">SUMIF(Смета!$B$4:$B$118,$A13,Смета!$K$4:$K$118)</f>
        <v>13579600</v>
      </c>
      <c r="E13" s="9" t="n">
        <f aca="false">C13/$C$22</f>
        <v>0.110124253945354</v>
      </c>
    </row>
    <row r="14" customFormat="false" ht="15" hidden="false" customHeight="false" outlineLevel="0" collapsed="false">
      <c r="A14" s="5" t="s">
        <v>16</v>
      </c>
      <c r="B14" s="8" t="n">
        <f aca="false">SUMIF(Смета!$B$4:$B$118,$A14,Смета!$J$4:$J$118)</f>
        <v>22587336</v>
      </c>
      <c r="C14" s="8" t="n">
        <f aca="false">SUMIF(Смета!$B$4:$B$118,$A14,Смета!$G$4:$G$118)</f>
        <v>26165040</v>
      </c>
      <c r="D14" s="8" t="n">
        <f aca="false">SUMIF(Смета!$B$4:$B$118,$A14,Смета!$K$4:$K$118)</f>
        <v>33268298</v>
      </c>
      <c r="E14" s="9" t="n">
        <f aca="false">C14/$C$22</f>
        <v>0.267403416031772</v>
      </c>
    </row>
    <row r="15" customFormat="false" ht="15" hidden="false" customHeight="false" outlineLevel="0" collapsed="false">
      <c r="A15" s="5" t="s">
        <v>17</v>
      </c>
      <c r="B15" s="8" t="n">
        <f aca="false">SUMIF(Смета!$B$4:$B$118,$A15,Смета!$J$4:$J$118)</f>
        <v>15860830</v>
      </c>
      <c r="C15" s="8" t="n">
        <f aca="false">SUMIF(Смета!$B$4:$B$118,$A15,Смета!$G$4:$G$118)</f>
        <v>19649800</v>
      </c>
      <c r="D15" s="8" t="n">
        <f aca="false">SUMIF(Смета!$B$4:$B$118,$A15,Смета!$K$4:$K$118)</f>
        <v>26844240</v>
      </c>
      <c r="E15" s="9" t="n">
        <f aca="false">C15/$C$22</f>
        <v>0.200818483149313</v>
      </c>
    </row>
    <row r="16" customFormat="false" ht="15" hidden="false" customHeight="false" outlineLevel="0" collapsed="false">
      <c r="A16" s="5" t="s">
        <v>18</v>
      </c>
      <c r="B16" s="8" t="n">
        <f aca="false">SUMIF(Смета!$B$4:$B$118,$A16,Смета!$J$4:$J$118)</f>
        <v>3019000</v>
      </c>
      <c r="C16" s="8" t="n">
        <f aca="false">SUMIF(Смета!$B$4:$B$118,$A16,Смета!$G$4:$G$118)</f>
        <v>3830000</v>
      </c>
      <c r="D16" s="8" t="n">
        <f aca="false">SUMIF(Смета!$B$4:$B$118,$A16,Смета!$K$4:$K$118)</f>
        <v>5504000</v>
      </c>
      <c r="E16" s="9" t="n">
        <f aca="false">C16/$C$22</f>
        <v>0.0391421180094387</v>
      </c>
    </row>
    <row r="17" customFormat="false" ht="15" hidden="false" customHeight="false" outlineLevel="0" collapsed="false">
      <c r="A17" s="5" t="s">
        <v>19</v>
      </c>
      <c r="B17" s="8" t="n">
        <f aca="false">SUMIF(Смета!$B$4:$B$118,$A17,Смета!$J$4:$J$118)</f>
        <v>9164450</v>
      </c>
      <c r="C17" s="8" t="n">
        <f aca="false">SUMIF(Смета!$B$4:$B$118,$A17,Смета!$G$4:$G$118)</f>
        <v>11609000</v>
      </c>
      <c r="D17" s="8" t="n">
        <f aca="false">SUMIF(Смета!$B$4:$B$118,$A17,Смета!$K$4:$K$118)</f>
        <v>17175280</v>
      </c>
      <c r="E17" s="9" t="n">
        <f aca="false">C17/$C$22</f>
        <v>0.11864251905263</v>
      </c>
    </row>
    <row r="18" customFormat="false" ht="15" hidden="false" customHeight="false" outlineLevel="0" collapsed="false">
      <c r="A18" s="5" t="s">
        <v>20</v>
      </c>
      <c r="B18" s="8" t="n">
        <f aca="false">SUMIF(Смета!$B$4:$B$118,$A18,Смета!$J$4:$J$118)</f>
        <v>3541000</v>
      </c>
      <c r="C18" s="8" t="n">
        <f aca="false">SUMIF(Смета!$B$4:$B$118,$A18,Смета!$G$4:$G$118)</f>
        <v>4860000</v>
      </c>
      <c r="D18" s="8" t="n">
        <f aca="false">SUMIF(Смета!$B$4:$B$118,$A18,Смета!$K$4:$K$118)</f>
        <v>7958000</v>
      </c>
      <c r="E18" s="9" t="n">
        <f aca="false">C18/$C$22</f>
        <v>0.0496685883879562</v>
      </c>
    </row>
    <row r="19" customFormat="false" ht="15" hidden="false" customHeight="false" outlineLevel="0" collapsed="false">
      <c r="A19" s="5" t="s">
        <v>21</v>
      </c>
      <c r="B19" s="8" t="n">
        <f aca="false">SUMIF(Смета!$B$4:$B$118,$A19,Смета!$J$4:$J$118)</f>
        <v>2371793</v>
      </c>
      <c r="C19" s="8" t="n">
        <f aca="false">SUMIF(Смета!$B$4:$B$118,$A19,Смета!$G$4:$G$118)</f>
        <v>3101393</v>
      </c>
      <c r="D19" s="8" t="n">
        <f aca="false">SUMIF(Смета!$B$4:$B$118,$A19,Смета!$K$4:$K$118)</f>
        <v>4421693</v>
      </c>
      <c r="E19" s="9" t="n">
        <f aca="false">C19/$C$22</f>
        <v>0.0316958461617878</v>
      </c>
    </row>
    <row r="20" customFormat="false" ht="15" hidden="false" customHeight="false" outlineLevel="0" collapsed="false">
      <c r="A20" s="5" t="s">
        <v>22</v>
      </c>
      <c r="B20" s="8" t="n">
        <f aca="false">SUMIF(Смета!$B$4:$B$118,$A20,Смета!$J$4:$J$118)</f>
        <v>9850638.5</v>
      </c>
      <c r="C20" s="8" t="n">
        <f aca="false">SUMIF(Смета!$B$4:$B$118,$A20,Смета!$G$4:$G$118)</f>
        <v>12746310</v>
      </c>
      <c r="D20" s="8" t="n">
        <f aca="false">SUMIF(Смета!$B$4:$B$118,$A20,Смета!$K$4:$K$118)</f>
        <v>18333653</v>
      </c>
      <c r="E20" s="9" t="n">
        <f aca="false">C20/$C$22</f>
        <v>0.130265684126603</v>
      </c>
    </row>
    <row r="21" customFormat="false" ht="15" hidden="false" customHeight="false" outlineLevel="0" collapsed="false">
      <c r="A21" s="5" t="s">
        <v>23</v>
      </c>
      <c r="B21" s="8" t="n">
        <f aca="false">SUMIF(Смета!$B$4:$B$118,$A21,Смета!$J$4:$J$118)</f>
        <v>464000</v>
      </c>
      <c r="C21" s="8" t="n">
        <f aca="false">SUMIF(Смета!$B$4:$B$118,$A21,Смета!$G$4:$G$118)</f>
        <v>580000</v>
      </c>
      <c r="D21" s="8" t="n">
        <f aca="false">SUMIF(Смета!$B$4:$B$118,$A21,Смета!$K$4:$K$118)</f>
        <v>842000</v>
      </c>
      <c r="E21" s="9" t="n">
        <f aca="false">C21/$C$22</f>
        <v>0.00592752700926226</v>
      </c>
    </row>
    <row r="22" customFormat="false" ht="15" hidden="false" customHeight="false" outlineLevel="0" collapsed="false">
      <c r="A22" s="10" t="s">
        <v>24</v>
      </c>
      <c r="B22" s="11" t="n">
        <f aca="false">SUM(B11:B21)</f>
        <v>80107218.5</v>
      </c>
      <c r="C22" s="11" t="n">
        <f aca="false">SUM(C11:C21)</f>
        <v>97848563</v>
      </c>
      <c r="D22" s="11" t="n">
        <f aca="false">SUM(D11:D21)</f>
        <v>134397234</v>
      </c>
      <c r="E22" s="2"/>
    </row>
    <row r="23" customFormat="false" ht="15" hidden="false" customHeight="false" outlineLevel="0" collapsed="false">
      <c r="A23" s="5" t="s">
        <v>25</v>
      </c>
      <c r="B23" s="12" t="n">
        <f aca="false">B22*$B$7</f>
        <v>6408577.48</v>
      </c>
      <c r="C23" s="12" t="n">
        <f aca="false">C22*$B$7</f>
        <v>7827885.04</v>
      </c>
      <c r="D23" s="12" t="n">
        <f aca="false">D22*$B$7</f>
        <v>10751778.72</v>
      </c>
      <c r="E23" s="2"/>
    </row>
    <row r="24" customFormat="false" ht="15" hidden="false" customHeight="false" outlineLevel="0" collapsed="false">
      <c r="A24" s="5" t="s">
        <v>26</v>
      </c>
      <c r="B24" s="12" t="n">
        <f aca="false">(B22+B23)*$B$8</f>
        <v>6921263.6784</v>
      </c>
      <c r="C24" s="12" t="n">
        <f aca="false">(C22+C23)*$B$8</f>
        <v>8454115.8432</v>
      </c>
      <c r="D24" s="12" t="n">
        <f aca="false">(D22+D23)*$B$8</f>
        <v>11611921.0176</v>
      </c>
      <c r="E24" s="2"/>
    </row>
    <row r="25" customFormat="false" ht="15" hidden="false" customHeight="false" outlineLevel="0" collapsed="false">
      <c r="A25" s="13" t="s">
        <v>27</v>
      </c>
      <c r="B25" s="14" t="n">
        <f aca="false">SUM(B22:B24)</f>
        <v>93437059.6584</v>
      </c>
      <c r="C25" s="14" t="n">
        <f aca="false">SUM(C22:C24)</f>
        <v>114130563.8832</v>
      </c>
      <c r="D25" s="14" t="n">
        <f aca="false">SUM(D22:D24)</f>
        <v>156760933.7376</v>
      </c>
      <c r="E25" s="15"/>
    </row>
    <row r="26" customFormat="false" ht="15" hidden="false" customHeight="false" outlineLevel="0" collapsed="false">
      <c r="A26" s="5" t="s">
        <v>28</v>
      </c>
      <c r="B26" s="12" t="n">
        <f aca="false">B25/$B$5</f>
        <v>156615.922994301</v>
      </c>
      <c r="C26" s="12" t="n">
        <f aca="false">C25/$B$5</f>
        <v>191301.64915052</v>
      </c>
      <c r="D26" s="12" t="n">
        <f aca="false">D25/$B$5</f>
        <v>262757.180250754</v>
      </c>
      <c r="E26" s="2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3" t="s">
        <v>29</v>
      </c>
      <c r="B28" s="2"/>
      <c r="C28" s="2"/>
      <c r="D28" s="2"/>
      <c r="E28" s="2"/>
    </row>
    <row r="29" customFormat="false" ht="15" hidden="false" customHeight="false" outlineLevel="0" collapsed="false">
      <c r="A29" s="3" t="s">
        <v>30</v>
      </c>
      <c r="B29" s="2"/>
      <c r="C29" s="2"/>
      <c r="D29" s="2"/>
      <c r="E29" s="2"/>
    </row>
    <row r="30" customFormat="false" ht="15" hidden="false" customHeight="false" outlineLevel="0" collapsed="false">
      <c r="A30" s="3" t="s">
        <v>31</v>
      </c>
      <c r="B30" s="2"/>
      <c r="C30" s="2"/>
      <c r="D30" s="2"/>
      <c r="E30" s="2"/>
    </row>
    <row r="31" customFormat="false" ht="15" hidden="false" customHeight="false" outlineLevel="0" collapsed="false">
      <c r="A31" s="3" t="s">
        <v>32</v>
      </c>
      <c r="B31" s="2"/>
      <c r="C31" s="2"/>
      <c r="D31" s="2"/>
      <c r="E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9" min="8" style="0" width="7"/>
    <col collapsed="false" customWidth="true" hidden="false" outlineLevel="0" max="11" min="10" style="0" width="15"/>
    <col collapsed="false" customWidth="true" hidden="false" outlineLevel="0" max="12" min="12" style="0" width="42"/>
  </cols>
  <sheetData>
    <row r="1" customFormat="false" ht="15" hidden="false" customHeight="false" outlineLevel="0" collapsed="false">
      <c r="A1" s="16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7" t="s">
        <v>35</v>
      </c>
      <c r="B3" s="17" t="s">
        <v>8</v>
      </c>
      <c r="C3" s="17" t="s">
        <v>36</v>
      </c>
      <c r="D3" s="17" t="s">
        <v>37</v>
      </c>
      <c r="E3" s="17" t="s">
        <v>38</v>
      </c>
      <c r="F3" s="17" t="s">
        <v>39</v>
      </c>
      <c r="G3" s="17" t="s">
        <v>40</v>
      </c>
      <c r="H3" s="17" t="s">
        <v>41</v>
      </c>
      <c r="I3" s="17" t="s">
        <v>42</v>
      </c>
      <c r="J3" s="17" t="s">
        <v>43</v>
      </c>
      <c r="K3" s="17" t="s">
        <v>44</v>
      </c>
      <c r="L3" s="17" t="s">
        <v>45</v>
      </c>
    </row>
    <row r="4" customFormat="false" ht="15" hidden="false" customHeight="false" outlineLevel="0" collapsed="false">
      <c r="A4" s="18" t="s">
        <v>13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customFormat="false" ht="15" hidden="false" customHeight="false" outlineLevel="0" collapsed="false">
      <c r="A5" s="5" t="s">
        <v>46</v>
      </c>
      <c r="B5" s="20" t="s">
        <v>13</v>
      </c>
      <c r="C5" s="21" t="s">
        <v>47</v>
      </c>
      <c r="D5" s="5" t="s">
        <v>48</v>
      </c>
      <c r="E5" s="22" t="n">
        <v>1</v>
      </c>
      <c r="F5" s="23" t="n">
        <v>35000</v>
      </c>
      <c r="G5" s="12" t="n">
        <f aca="false">E5*F5</f>
        <v>35000</v>
      </c>
      <c r="H5" s="24" t="n">
        <v>0.85</v>
      </c>
      <c r="I5" s="24" t="n">
        <v>1.3</v>
      </c>
      <c r="J5" s="12" t="n">
        <f aca="false">G5*H5</f>
        <v>29750</v>
      </c>
      <c r="K5" s="12" t="n">
        <f aca="false">G5*I5</f>
        <v>45500</v>
      </c>
      <c r="L5" s="25" t="s">
        <v>49</v>
      </c>
    </row>
    <row r="6" customFormat="false" ht="15" hidden="false" customHeight="false" outlineLevel="0" collapsed="false">
      <c r="A6" s="5" t="s">
        <v>50</v>
      </c>
      <c r="B6" s="20" t="s">
        <v>13</v>
      </c>
      <c r="C6" s="21" t="s">
        <v>51</v>
      </c>
      <c r="D6" s="5" t="s">
        <v>48</v>
      </c>
      <c r="E6" s="22" t="n">
        <v>1</v>
      </c>
      <c r="F6" s="23" t="n">
        <v>95000</v>
      </c>
      <c r="G6" s="12" t="n">
        <f aca="false">E6*F6</f>
        <v>95000</v>
      </c>
      <c r="H6" s="24" t="n">
        <v>0.85</v>
      </c>
      <c r="I6" s="24" t="n">
        <v>1.4</v>
      </c>
      <c r="J6" s="12" t="n">
        <f aca="false">G6*H6</f>
        <v>80750</v>
      </c>
      <c r="K6" s="12" t="n">
        <f aca="false">G6*I6</f>
        <v>133000</v>
      </c>
      <c r="L6" s="25" t="s">
        <v>52</v>
      </c>
    </row>
    <row r="7" customFormat="false" ht="15" hidden="false" customHeight="false" outlineLevel="0" collapsed="false">
      <c r="A7" s="5" t="s">
        <v>53</v>
      </c>
      <c r="B7" s="20" t="s">
        <v>13</v>
      </c>
      <c r="C7" s="21" t="s">
        <v>54</v>
      </c>
      <c r="D7" s="5" t="s">
        <v>55</v>
      </c>
      <c r="E7" s="22" t="n">
        <v>596.6</v>
      </c>
      <c r="F7" s="23" t="n">
        <v>2200</v>
      </c>
      <c r="G7" s="12" t="n">
        <f aca="false">E7*F7</f>
        <v>1312520</v>
      </c>
      <c r="H7" s="24" t="n">
        <v>0.8</v>
      </c>
      <c r="I7" s="24" t="n">
        <v>1.5</v>
      </c>
      <c r="J7" s="12" t="n">
        <f aca="false">G7*H7</f>
        <v>1050016</v>
      </c>
      <c r="K7" s="12" t="n">
        <f aca="false">G7*I7</f>
        <v>1968780</v>
      </c>
      <c r="L7" s="25" t="s">
        <v>56</v>
      </c>
    </row>
    <row r="8" customFormat="false" ht="15" hidden="false" customHeight="false" outlineLevel="0" collapsed="false">
      <c r="A8" s="5" t="s">
        <v>57</v>
      </c>
      <c r="B8" s="20" t="s">
        <v>13</v>
      </c>
      <c r="C8" s="21" t="s">
        <v>58</v>
      </c>
      <c r="D8" s="5" t="s">
        <v>55</v>
      </c>
      <c r="E8" s="22" t="n">
        <v>596.6</v>
      </c>
      <c r="F8" s="23" t="n">
        <v>1500</v>
      </c>
      <c r="G8" s="12" t="n">
        <f aca="false">E8*F8</f>
        <v>894900</v>
      </c>
      <c r="H8" s="24" t="n">
        <v>0.8</v>
      </c>
      <c r="I8" s="24" t="n">
        <v>1.5</v>
      </c>
      <c r="J8" s="12" t="n">
        <f aca="false">G8*H8</f>
        <v>715920</v>
      </c>
      <c r="K8" s="12" t="n">
        <f aca="false">G8*I8</f>
        <v>1342350</v>
      </c>
      <c r="L8" s="25"/>
    </row>
    <row r="9" customFormat="false" ht="15" hidden="false" customHeight="false" outlineLevel="0" collapsed="false">
      <c r="A9" s="5" t="s">
        <v>59</v>
      </c>
      <c r="B9" s="20" t="s">
        <v>13</v>
      </c>
      <c r="C9" s="21" t="s">
        <v>60</v>
      </c>
      <c r="D9" s="5" t="s">
        <v>48</v>
      </c>
      <c r="E9" s="22" t="n">
        <v>1</v>
      </c>
      <c r="F9" s="23" t="n">
        <v>180000</v>
      </c>
      <c r="G9" s="12" t="n">
        <f aca="false">E9*F9</f>
        <v>180000</v>
      </c>
      <c r="H9" s="24" t="n">
        <v>0.7</v>
      </c>
      <c r="I9" s="24" t="n">
        <v>1.5</v>
      </c>
      <c r="J9" s="12" t="n">
        <f aca="false">G9*H9</f>
        <v>126000</v>
      </c>
      <c r="K9" s="12" t="n">
        <f aca="false">G9*I9</f>
        <v>270000</v>
      </c>
      <c r="L9" s="25"/>
    </row>
    <row r="10" customFormat="false" ht="15" hidden="false" customHeight="false" outlineLevel="0" collapsed="false">
      <c r="A10" s="5" t="s">
        <v>61</v>
      </c>
      <c r="B10" s="20" t="s">
        <v>13</v>
      </c>
      <c r="C10" s="21" t="s">
        <v>62</v>
      </c>
      <c r="D10" s="5" t="s">
        <v>48</v>
      </c>
      <c r="E10" s="22" t="n">
        <v>1</v>
      </c>
      <c r="F10" s="23" t="n">
        <v>70000</v>
      </c>
      <c r="G10" s="12" t="n">
        <f aca="false">E10*F10</f>
        <v>70000</v>
      </c>
      <c r="H10" s="24" t="n">
        <v>0.8</v>
      </c>
      <c r="I10" s="24" t="n">
        <v>1.4</v>
      </c>
      <c r="J10" s="12" t="n">
        <f aca="false">G10*H10</f>
        <v>56000</v>
      </c>
      <c r="K10" s="12" t="n">
        <f aca="false">G10*I10</f>
        <v>98000</v>
      </c>
      <c r="L10" s="25" t="s">
        <v>63</v>
      </c>
    </row>
    <row r="11" customFormat="false" ht="15" hidden="false" customHeight="false" outlineLevel="0" collapsed="false">
      <c r="A11" s="5" t="s">
        <v>64</v>
      </c>
      <c r="B11" s="20" t="s">
        <v>13</v>
      </c>
      <c r="C11" s="21" t="s">
        <v>65</v>
      </c>
      <c r="D11" s="5" t="s">
        <v>48</v>
      </c>
      <c r="E11" s="22" t="n">
        <v>1</v>
      </c>
      <c r="F11" s="23" t="n">
        <v>35000</v>
      </c>
      <c r="G11" s="12" t="n">
        <f aca="false">E11*F11</f>
        <v>35000</v>
      </c>
      <c r="H11" s="24" t="n">
        <v>0.8</v>
      </c>
      <c r="I11" s="24" t="n">
        <v>1.5</v>
      </c>
      <c r="J11" s="12" t="n">
        <f aca="false">G11*H11</f>
        <v>28000</v>
      </c>
      <c r="K11" s="12" t="n">
        <f aca="false">G11*I11</f>
        <v>52500</v>
      </c>
      <c r="L11" s="25" t="s">
        <v>66</v>
      </c>
    </row>
    <row r="12" customFormat="false" ht="15" hidden="false" customHeight="false" outlineLevel="0" collapsed="false">
      <c r="A12" s="5" t="s">
        <v>67</v>
      </c>
      <c r="B12" s="20" t="s">
        <v>13</v>
      </c>
      <c r="C12" s="21" t="s">
        <v>68</v>
      </c>
      <c r="D12" s="5" t="s">
        <v>69</v>
      </c>
      <c r="E12" s="22" t="n">
        <v>12</v>
      </c>
      <c r="F12" s="23" t="n">
        <v>45000</v>
      </c>
      <c r="G12" s="12" t="n">
        <f aca="false">E12*F12</f>
        <v>540000</v>
      </c>
      <c r="H12" s="24" t="n">
        <v>0.8</v>
      </c>
      <c r="I12" s="24" t="n">
        <v>1.3</v>
      </c>
      <c r="J12" s="12" t="n">
        <f aca="false">G12*H12</f>
        <v>432000</v>
      </c>
      <c r="K12" s="12" t="n">
        <f aca="false">G12*I12</f>
        <v>702000</v>
      </c>
      <c r="L12" s="25"/>
    </row>
    <row r="13" customFormat="false" ht="15" hidden="false" customHeight="false" outlineLevel="0" collapsed="false">
      <c r="A13" s="5" t="s">
        <v>70</v>
      </c>
      <c r="B13" s="20" t="s">
        <v>13</v>
      </c>
      <c r="C13" s="21" t="s">
        <v>71</v>
      </c>
      <c r="D13" s="5" t="s">
        <v>48</v>
      </c>
      <c r="E13" s="22" t="n">
        <v>1</v>
      </c>
      <c r="F13" s="23" t="n">
        <v>60000</v>
      </c>
      <c r="G13" s="12" t="n">
        <f aca="false">E13*F13</f>
        <v>60000</v>
      </c>
      <c r="H13" s="24" t="n">
        <v>0.8</v>
      </c>
      <c r="I13" s="24" t="n">
        <v>1.3</v>
      </c>
      <c r="J13" s="12" t="n">
        <f aca="false">G13*H13</f>
        <v>48000</v>
      </c>
      <c r="K13" s="12" t="n">
        <f aca="false">G13*I13</f>
        <v>78000</v>
      </c>
      <c r="L13" s="25"/>
    </row>
    <row r="14" customFormat="false" ht="15" hidden="false" customHeight="false" outlineLevel="0" collapsed="false">
      <c r="A14" s="18" t="s">
        <v>14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customFormat="false" ht="15" hidden="false" customHeight="false" outlineLevel="0" collapsed="false">
      <c r="A15" s="5" t="s">
        <v>72</v>
      </c>
      <c r="B15" s="20" t="s">
        <v>14</v>
      </c>
      <c r="C15" s="21" t="s">
        <v>73</v>
      </c>
      <c r="D15" s="5" t="s">
        <v>55</v>
      </c>
      <c r="E15" s="22" t="n">
        <v>520</v>
      </c>
      <c r="F15" s="23" t="n">
        <v>450</v>
      </c>
      <c r="G15" s="12" t="n">
        <f aca="false">E15*F15</f>
        <v>234000</v>
      </c>
      <c r="H15" s="24" t="n">
        <v>0.8</v>
      </c>
      <c r="I15" s="24" t="n">
        <v>1.3</v>
      </c>
      <c r="J15" s="12" t="n">
        <f aca="false">G15*H15</f>
        <v>187200</v>
      </c>
      <c r="K15" s="12" t="n">
        <f aca="false">G15*I15</f>
        <v>304200</v>
      </c>
      <c r="L15" s="25"/>
    </row>
    <row r="16" customFormat="false" ht="15" hidden="false" customHeight="false" outlineLevel="0" collapsed="false">
      <c r="A16" s="5" t="s">
        <v>74</v>
      </c>
      <c r="B16" s="20" t="s">
        <v>14</v>
      </c>
      <c r="C16" s="21" t="s">
        <v>75</v>
      </c>
      <c r="D16" s="5" t="s">
        <v>76</v>
      </c>
      <c r="E16" s="22" t="n">
        <v>477</v>
      </c>
      <c r="F16" s="23" t="n">
        <v>1300</v>
      </c>
      <c r="G16" s="12" t="n">
        <f aca="false">E16*F16</f>
        <v>620100</v>
      </c>
      <c r="H16" s="24" t="n">
        <v>0.85</v>
      </c>
      <c r="I16" s="24" t="n">
        <v>1.4</v>
      </c>
      <c r="J16" s="12" t="n">
        <f aca="false">G16*H16</f>
        <v>527085</v>
      </c>
      <c r="K16" s="12" t="n">
        <f aca="false">G16*I16</f>
        <v>868140</v>
      </c>
      <c r="L16" s="25" t="s">
        <v>77</v>
      </c>
    </row>
    <row r="17" customFormat="false" ht="15" hidden="false" customHeight="false" outlineLevel="0" collapsed="false">
      <c r="A17" s="5" t="s">
        <v>78</v>
      </c>
      <c r="B17" s="20" t="s">
        <v>14</v>
      </c>
      <c r="C17" s="21" t="s">
        <v>79</v>
      </c>
      <c r="D17" s="5" t="s">
        <v>48</v>
      </c>
      <c r="E17" s="22" t="n">
        <v>1</v>
      </c>
      <c r="F17" s="23" t="n">
        <v>350000</v>
      </c>
      <c r="G17" s="12" t="n">
        <f aca="false">E17*F17</f>
        <v>350000</v>
      </c>
      <c r="H17" s="24" t="n">
        <v>0.8</v>
      </c>
      <c r="I17" s="24" t="n">
        <v>1.3</v>
      </c>
      <c r="J17" s="12" t="n">
        <f aca="false">G17*H17</f>
        <v>280000</v>
      </c>
      <c r="K17" s="12" t="n">
        <f aca="false">G17*I17</f>
        <v>455000</v>
      </c>
      <c r="L17" s="25"/>
    </row>
    <row r="18" customFormat="false" ht="15" hidden="false" customHeight="false" outlineLevel="0" collapsed="false">
      <c r="A18" s="5" t="s">
        <v>80</v>
      </c>
      <c r="B18" s="20" t="s">
        <v>14</v>
      </c>
      <c r="C18" s="21" t="s">
        <v>81</v>
      </c>
      <c r="D18" s="5" t="s">
        <v>48</v>
      </c>
      <c r="E18" s="22" t="n">
        <v>1</v>
      </c>
      <c r="F18" s="23" t="n">
        <v>60000</v>
      </c>
      <c r="G18" s="12" t="n">
        <f aca="false">E18*F18</f>
        <v>60000</v>
      </c>
      <c r="H18" s="24" t="n">
        <v>0.7</v>
      </c>
      <c r="I18" s="24" t="n">
        <v>1.5</v>
      </c>
      <c r="J18" s="12" t="n">
        <f aca="false">G18*H18</f>
        <v>42000</v>
      </c>
      <c r="K18" s="12" t="n">
        <f aca="false">G18*I18</f>
        <v>90000</v>
      </c>
      <c r="L18" s="25" t="s">
        <v>82</v>
      </c>
    </row>
    <row r="19" customFormat="false" ht="15" hidden="false" customHeight="false" outlineLevel="0" collapsed="false">
      <c r="A19" s="5" t="s">
        <v>83</v>
      </c>
      <c r="B19" s="20" t="s">
        <v>14</v>
      </c>
      <c r="C19" s="21" t="s">
        <v>84</v>
      </c>
      <c r="D19" s="5" t="s">
        <v>48</v>
      </c>
      <c r="E19" s="22" t="n">
        <v>1</v>
      </c>
      <c r="F19" s="23" t="n">
        <v>45000</v>
      </c>
      <c r="G19" s="12" t="n">
        <f aca="false">E19*F19</f>
        <v>45000</v>
      </c>
      <c r="H19" s="24" t="n">
        <v>0.8</v>
      </c>
      <c r="I19" s="24" t="n">
        <v>1.4</v>
      </c>
      <c r="J19" s="12" t="n">
        <f aca="false">G19*H19</f>
        <v>36000</v>
      </c>
      <c r="K19" s="12" t="n">
        <f aca="false">G19*I19</f>
        <v>63000</v>
      </c>
      <c r="L19" s="25"/>
    </row>
    <row r="20" customFormat="false" ht="15" hidden="false" customHeight="false" outlineLevel="0" collapsed="false">
      <c r="A20" s="18" t="s">
        <v>15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customFormat="false" ht="15" hidden="false" customHeight="false" outlineLevel="0" collapsed="false">
      <c r="A21" s="5" t="s">
        <v>85</v>
      </c>
      <c r="B21" s="20" t="s">
        <v>15</v>
      </c>
      <c r="C21" s="21" t="s">
        <v>86</v>
      </c>
      <c r="D21" s="5" t="s">
        <v>55</v>
      </c>
      <c r="E21" s="22" t="n">
        <v>266.6</v>
      </c>
      <c r="F21" s="23" t="n">
        <v>17500</v>
      </c>
      <c r="G21" s="12" t="n">
        <f aca="false">E21*F21</f>
        <v>4665500</v>
      </c>
      <c r="H21" s="24" t="n">
        <v>0.9</v>
      </c>
      <c r="I21" s="24" t="n">
        <v>1.2</v>
      </c>
      <c r="J21" s="12" t="n">
        <f aca="false">G21*H21</f>
        <v>4198950</v>
      </c>
      <c r="K21" s="12" t="n">
        <f aca="false">G21*I21</f>
        <v>5598600</v>
      </c>
      <c r="L21" s="25" t="s">
        <v>87</v>
      </c>
    </row>
    <row r="22" customFormat="false" ht="23.85" hidden="false" customHeight="false" outlineLevel="0" collapsed="false">
      <c r="A22" s="5" t="s">
        <v>88</v>
      </c>
      <c r="B22" s="20" t="s">
        <v>15</v>
      </c>
      <c r="C22" s="21" t="s">
        <v>89</v>
      </c>
      <c r="D22" s="5" t="s">
        <v>90</v>
      </c>
      <c r="E22" s="22" t="n">
        <v>80</v>
      </c>
      <c r="F22" s="23" t="n">
        <v>60000</v>
      </c>
      <c r="G22" s="12" t="n">
        <f aca="false">E22*F22</f>
        <v>4800000</v>
      </c>
      <c r="H22" s="24" t="n">
        <v>0.9</v>
      </c>
      <c r="I22" s="24" t="n">
        <v>1.3</v>
      </c>
      <c r="J22" s="12" t="n">
        <f aca="false">G22*H22</f>
        <v>4320000</v>
      </c>
      <c r="K22" s="12" t="n">
        <f aca="false">G22*I22</f>
        <v>6240000</v>
      </c>
      <c r="L22" s="25" t="s">
        <v>91</v>
      </c>
    </row>
    <row r="23" customFormat="false" ht="15" hidden="false" customHeight="false" outlineLevel="0" collapsed="false">
      <c r="A23" s="5" t="s">
        <v>92</v>
      </c>
      <c r="B23" s="20" t="s">
        <v>15</v>
      </c>
      <c r="C23" s="21" t="s">
        <v>93</v>
      </c>
      <c r="D23" s="5" t="s">
        <v>48</v>
      </c>
      <c r="E23" s="22" t="n">
        <v>1</v>
      </c>
      <c r="F23" s="23" t="n">
        <v>850000</v>
      </c>
      <c r="G23" s="12" t="n">
        <f aca="false">E23*F23</f>
        <v>850000</v>
      </c>
      <c r="H23" s="24" t="n">
        <v>0.85</v>
      </c>
      <c r="I23" s="24" t="n">
        <v>1.3</v>
      </c>
      <c r="J23" s="12" t="n">
        <f aca="false">G23*H23</f>
        <v>722500</v>
      </c>
      <c r="K23" s="12" t="n">
        <f aca="false">G23*I23</f>
        <v>1105000</v>
      </c>
      <c r="L23" s="25"/>
    </row>
    <row r="24" customFormat="false" ht="15" hidden="false" customHeight="false" outlineLevel="0" collapsed="false">
      <c r="A24" s="5" t="s">
        <v>94</v>
      </c>
      <c r="B24" s="20" t="s">
        <v>15</v>
      </c>
      <c r="C24" s="21" t="s">
        <v>95</v>
      </c>
      <c r="D24" s="5" t="s">
        <v>48</v>
      </c>
      <c r="E24" s="22" t="n">
        <v>1</v>
      </c>
      <c r="F24" s="23" t="n">
        <v>80000</v>
      </c>
      <c r="G24" s="12" t="n">
        <f aca="false">E24*F24</f>
        <v>80000</v>
      </c>
      <c r="H24" s="24" t="n">
        <v>0.8</v>
      </c>
      <c r="I24" s="24" t="n">
        <v>1.3</v>
      </c>
      <c r="J24" s="12" t="n">
        <f aca="false">G24*H24</f>
        <v>64000</v>
      </c>
      <c r="K24" s="12" t="n">
        <f aca="false">G24*I24</f>
        <v>104000</v>
      </c>
      <c r="L24" s="25"/>
    </row>
    <row r="25" customFormat="false" ht="15" hidden="false" customHeight="false" outlineLevel="0" collapsed="false">
      <c r="A25" s="5" t="s">
        <v>96</v>
      </c>
      <c r="B25" s="20" t="s">
        <v>15</v>
      </c>
      <c r="C25" s="21" t="s">
        <v>97</v>
      </c>
      <c r="D25" s="5" t="s">
        <v>48</v>
      </c>
      <c r="E25" s="22" t="n">
        <v>1</v>
      </c>
      <c r="F25" s="23" t="n">
        <v>380000</v>
      </c>
      <c r="G25" s="12" t="n">
        <f aca="false">E25*F25</f>
        <v>380000</v>
      </c>
      <c r="H25" s="24" t="n">
        <v>0.8</v>
      </c>
      <c r="I25" s="24" t="n">
        <v>1.4</v>
      </c>
      <c r="J25" s="12" t="n">
        <f aca="false">G25*H25</f>
        <v>304000</v>
      </c>
      <c r="K25" s="12" t="n">
        <f aca="false">G25*I25</f>
        <v>532000</v>
      </c>
      <c r="L25" s="25" t="s">
        <v>98</v>
      </c>
    </row>
    <row r="26" customFormat="false" ht="15" hidden="false" customHeight="false" outlineLevel="0" collapsed="false">
      <c r="A26" s="18" t="s">
        <v>16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customFormat="false" ht="23.85" hidden="false" customHeight="false" outlineLevel="0" collapsed="false">
      <c r="A27" s="5" t="s">
        <v>99</v>
      </c>
      <c r="B27" s="20" t="s">
        <v>16</v>
      </c>
      <c r="C27" s="21" t="s">
        <v>100</v>
      </c>
      <c r="D27" s="5" t="s">
        <v>55</v>
      </c>
      <c r="E27" s="22" t="n">
        <v>522.7</v>
      </c>
      <c r="F27" s="23" t="n">
        <v>6800</v>
      </c>
      <c r="G27" s="12" t="n">
        <f aca="false">E27*F27</f>
        <v>3554360</v>
      </c>
      <c r="H27" s="24" t="n">
        <v>0.9</v>
      </c>
      <c r="I27" s="24" t="n">
        <v>1.2</v>
      </c>
      <c r="J27" s="12" t="n">
        <f aca="false">G27*H27</f>
        <v>3198924</v>
      </c>
      <c r="K27" s="12" t="n">
        <f aca="false">G27*I27</f>
        <v>4265232</v>
      </c>
      <c r="L27" s="25" t="s">
        <v>101</v>
      </c>
    </row>
    <row r="28" customFormat="false" ht="23.85" hidden="false" customHeight="false" outlineLevel="0" collapsed="false">
      <c r="A28" s="5" t="s">
        <v>102</v>
      </c>
      <c r="B28" s="20" t="s">
        <v>16</v>
      </c>
      <c r="C28" s="21" t="s">
        <v>103</v>
      </c>
      <c r="D28" s="5" t="s">
        <v>55</v>
      </c>
      <c r="E28" s="22" t="n">
        <v>445</v>
      </c>
      <c r="F28" s="23" t="n">
        <v>3600</v>
      </c>
      <c r="G28" s="12" t="n">
        <f aca="false">E28*F28</f>
        <v>1602000</v>
      </c>
      <c r="H28" s="24" t="n">
        <v>0.85</v>
      </c>
      <c r="I28" s="24" t="n">
        <v>1.25</v>
      </c>
      <c r="J28" s="12" t="n">
        <f aca="false">G28*H28</f>
        <v>1361700</v>
      </c>
      <c r="K28" s="12" t="n">
        <f aca="false">G28*I28</f>
        <v>2002500</v>
      </c>
      <c r="L28" s="25"/>
    </row>
    <row r="29" customFormat="false" ht="15" hidden="false" customHeight="false" outlineLevel="0" collapsed="false">
      <c r="A29" s="5" t="s">
        <v>104</v>
      </c>
      <c r="B29" s="20" t="s">
        <v>16</v>
      </c>
      <c r="C29" s="21" t="s">
        <v>105</v>
      </c>
      <c r="D29" s="5" t="s">
        <v>55</v>
      </c>
      <c r="E29" s="22" t="n">
        <v>140</v>
      </c>
      <c r="F29" s="23" t="n">
        <v>4200</v>
      </c>
      <c r="G29" s="12" t="n">
        <f aca="false">E29*F29</f>
        <v>588000</v>
      </c>
      <c r="H29" s="24" t="n">
        <v>0.85</v>
      </c>
      <c r="I29" s="24" t="n">
        <v>1.3</v>
      </c>
      <c r="J29" s="12" t="n">
        <f aca="false">G29*H29</f>
        <v>499800</v>
      </c>
      <c r="K29" s="12" t="n">
        <f aca="false">G29*I29</f>
        <v>764400</v>
      </c>
      <c r="L29" s="25" t="s">
        <v>106</v>
      </c>
    </row>
    <row r="30" customFormat="false" ht="15" hidden="false" customHeight="false" outlineLevel="0" collapsed="false">
      <c r="A30" s="5" t="s">
        <v>107</v>
      </c>
      <c r="B30" s="20" t="s">
        <v>16</v>
      </c>
      <c r="C30" s="21" t="s">
        <v>108</v>
      </c>
      <c r="D30" s="5" t="s">
        <v>55</v>
      </c>
      <c r="E30" s="22" t="n">
        <v>596.6</v>
      </c>
      <c r="F30" s="23" t="n">
        <v>9800</v>
      </c>
      <c r="G30" s="12" t="n">
        <f aca="false">E30*F30</f>
        <v>5846680</v>
      </c>
      <c r="H30" s="24" t="n">
        <v>0.9</v>
      </c>
      <c r="I30" s="24" t="n">
        <v>1.2</v>
      </c>
      <c r="J30" s="12" t="n">
        <f aca="false">G30*H30</f>
        <v>5262012</v>
      </c>
      <c r="K30" s="12" t="n">
        <f aca="false">G30*I30</f>
        <v>7016016</v>
      </c>
      <c r="L30" s="25"/>
    </row>
    <row r="31" customFormat="false" ht="23.85" hidden="false" customHeight="false" outlineLevel="0" collapsed="false">
      <c r="A31" s="5" t="s">
        <v>109</v>
      </c>
      <c r="B31" s="20" t="s">
        <v>16</v>
      </c>
      <c r="C31" s="21" t="s">
        <v>110</v>
      </c>
      <c r="D31" s="5" t="s">
        <v>48</v>
      </c>
      <c r="E31" s="22" t="n">
        <v>1</v>
      </c>
      <c r="F31" s="23" t="n">
        <v>280000</v>
      </c>
      <c r="G31" s="12" t="n">
        <f aca="false">E31*F31</f>
        <v>280000</v>
      </c>
      <c r="H31" s="24" t="n">
        <v>0.8</v>
      </c>
      <c r="I31" s="24" t="n">
        <v>1.4</v>
      </c>
      <c r="J31" s="12" t="n">
        <f aca="false">G31*H31</f>
        <v>224000</v>
      </c>
      <c r="K31" s="12" t="n">
        <f aca="false">G31*I31</f>
        <v>392000</v>
      </c>
      <c r="L31" s="25"/>
    </row>
    <row r="32" customFormat="false" ht="15" hidden="false" customHeight="false" outlineLevel="0" collapsed="false">
      <c r="A32" s="5" t="s">
        <v>111</v>
      </c>
      <c r="B32" s="20" t="s">
        <v>16</v>
      </c>
      <c r="C32" s="21" t="s">
        <v>112</v>
      </c>
      <c r="D32" s="5" t="s">
        <v>48</v>
      </c>
      <c r="E32" s="22" t="n">
        <v>1</v>
      </c>
      <c r="F32" s="23" t="n">
        <v>420000</v>
      </c>
      <c r="G32" s="12" t="n">
        <f aca="false">E32*F32</f>
        <v>420000</v>
      </c>
      <c r="H32" s="24" t="n">
        <v>0.85</v>
      </c>
      <c r="I32" s="24" t="n">
        <v>1.3</v>
      </c>
      <c r="J32" s="12" t="n">
        <f aca="false">G32*H32</f>
        <v>357000</v>
      </c>
      <c r="K32" s="12" t="n">
        <f aca="false">G32*I32</f>
        <v>546000</v>
      </c>
      <c r="L32" s="25"/>
    </row>
    <row r="33" customFormat="false" ht="23.85" hidden="false" customHeight="false" outlineLevel="0" collapsed="false">
      <c r="A33" s="5" t="s">
        <v>113</v>
      </c>
      <c r="B33" s="20" t="s">
        <v>16</v>
      </c>
      <c r="C33" s="21" t="s">
        <v>114</v>
      </c>
      <c r="D33" s="5" t="s">
        <v>55</v>
      </c>
      <c r="E33" s="22" t="n">
        <v>426</v>
      </c>
      <c r="F33" s="23" t="n">
        <v>12500</v>
      </c>
      <c r="G33" s="12" t="n">
        <f aca="false">E33*F33</f>
        <v>5325000</v>
      </c>
      <c r="H33" s="24" t="n">
        <v>0.85</v>
      </c>
      <c r="I33" s="24" t="n">
        <v>1.25</v>
      </c>
      <c r="J33" s="12" t="n">
        <f aca="false">G33*H33</f>
        <v>4526250</v>
      </c>
      <c r="K33" s="12" t="n">
        <f aca="false">G33*I33</f>
        <v>6656250</v>
      </c>
      <c r="L33" s="25" t="s">
        <v>115</v>
      </c>
    </row>
    <row r="34" customFormat="false" ht="15" hidden="false" customHeight="false" outlineLevel="0" collapsed="false">
      <c r="A34" s="5" t="s">
        <v>116</v>
      </c>
      <c r="B34" s="20" t="s">
        <v>16</v>
      </c>
      <c r="C34" s="21" t="s">
        <v>117</v>
      </c>
      <c r="D34" s="5" t="s">
        <v>55</v>
      </c>
      <c r="E34" s="22" t="n">
        <v>410</v>
      </c>
      <c r="F34" s="23" t="n">
        <v>8800</v>
      </c>
      <c r="G34" s="12" t="n">
        <f aca="false">E34*F34</f>
        <v>3608000</v>
      </c>
      <c r="H34" s="24" t="n">
        <v>0.85</v>
      </c>
      <c r="I34" s="24" t="n">
        <v>1.35</v>
      </c>
      <c r="J34" s="12" t="n">
        <f aca="false">G34*H34</f>
        <v>3066800</v>
      </c>
      <c r="K34" s="12" t="n">
        <f aca="false">G34*I34</f>
        <v>4870800</v>
      </c>
      <c r="L34" s="25"/>
    </row>
    <row r="35" customFormat="false" ht="15" hidden="false" customHeight="false" outlineLevel="0" collapsed="false">
      <c r="A35" s="5" t="s">
        <v>118</v>
      </c>
      <c r="B35" s="20" t="s">
        <v>16</v>
      </c>
      <c r="C35" s="21" t="s">
        <v>119</v>
      </c>
      <c r="D35" s="5" t="s">
        <v>55</v>
      </c>
      <c r="E35" s="22" t="n">
        <v>44</v>
      </c>
      <c r="F35" s="23" t="n">
        <v>24000</v>
      </c>
      <c r="G35" s="12" t="n">
        <f aca="false">E35*F35</f>
        <v>1056000</v>
      </c>
      <c r="H35" s="24" t="n">
        <v>0.85</v>
      </c>
      <c r="I35" s="24" t="n">
        <v>1.4</v>
      </c>
      <c r="J35" s="12" t="n">
        <f aca="false">G35*H35</f>
        <v>897600</v>
      </c>
      <c r="K35" s="12" t="n">
        <f aca="false">G35*I35</f>
        <v>1478400</v>
      </c>
      <c r="L35" s="25"/>
    </row>
    <row r="36" customFormat="false" ht="23.85" hidden="false" customHeight="false" outlineLevel="0" collapsed="false">
      <c r="A36" s="5" t="s">
        <v>120</v>
      </c>
      <c r="B36" s="20" t="s">
        <v>16</v>
      </c>
      <c r="C36" s="21" t="s">
        <v>121</v>
      </c>
      <c r="D36" s="5" t="s">
        <v>55</v>
      </c>
      <c r="E36" s="22" t="n">
        <v>38</v>
      </c>
      <c r="F36" s="23" t="n">
        <v>58000</v>
      </c>
      <c r="G36" s="12" t="n">
        <f aca="false">E36*F36</f>
        <v>2204000</v>
      </c>
      <c r="H36" s="24" t="n">
        <v>0.85</v>
      </c>
      <c r="I36" s="24" t="n">
        <v>1.35</v>
      </c>
      <c r="J36" s="12" t="n">
        <f aca="false">G36*H36</f>
        <v>1873400</v>
      </c>
      <c r="K36" s="12" t="n">
        <f aca="false">G36*I36</f>
        <v>2975400</v>
      </c>
      <c r="L36" s="25" t="s">
        <v>122</v>
      </c>
    </row>
    <row r="37" customFormat="false" ht="15" hidden="false" customHeight="false" outlineLevel="0" collapsed="false">
      <c r="A37" s="5" t="s">
        <v>123</v>
      </c>
      <c r="B37" s="20" t="s">
        <v>16</v>
      </c>
      <c r="C37" s="21" t="s">
        <v>124</v>
      </c>
      <c r="D37" s="5" t="s">
        <v>125</v>
      </c>
      <c r="E37" s="22" t="n">
        <v>2</v>
      </c>
      <c r="F37" s="23" t="n">
        <v>320000</v>
      </c>
      <c r="G37" s="12" t="n">
        <f aca="false">E37*F37</f>
        <v>640000</v>
      </c>
      <c r="H37" s="24" t="n">
        <v>0.8</v>
      </c>
      <c r="I37" s="24" t="n">
        <v>1.3</v>
      </c>
      <c r="J37" s="12" t="n">
        <f aca="false">G37*H37</f>
        <v>512000</v>
      </c>
      <c r="K37" s="12" t="n">
        <f aca="false">G37*I37</f>
        <v>832000</v>
      </c>
      <c r="L37" s="25"/>
    </row>
    <row r="38" customFormat="false" ht="15" hidden="false" customHeight="false" outlineLevel="0" collapsed="false">
      <c r="A38" s="5" t="s">
        <v>126</v>
      </c>
      <c r="B38" s="20" t="s">
        <v>16</v>
      </c>
      <c r="C38" s="21" t="s">
        <v>127</v>
      </c>
      <c r="D38" s="5" t="s">
        <v>125</v>
      </c>
      <c r="E38" s="22" t="n">
        <v>1</v>
      </c>
      <c r="F38" s="23" t="n">
        <v>380000</v>
      </c>
      <c r="G38" s="12" t="n">
        <f aca="false">E38*F38</f>
        <v>380000</v>
      </c>
      <c r="H38" s="24" t="n">
        <v>0.7</v>
      </c>
      <c r="I38" s="24" t="n">
        <v>1.5</v>
      </c>
      <c r="J38" s="12" t="n">
        <f aca="false">G38*H38</f>
        <v>266000</v>
      </c>
      <c r="K38" s="12" t="n">
        <f aca="false">G38*I38</f>
        <v>570000</v>
      </c>
      <c r="L38" s="25"/>
    </row>
    <row r="39" customFormat="false" ht="15" hidden="false" customHeight="false" outlineLevel="0" collapsed="false">
      <c r="A39" s="5" t="s">
        <v>128</v>
      </c>
      <c r="B39" s="20" t="s">
        <v>16</v>
      </c>
      <c r="C39" s="21" t="s">
        <v>129</v>
      </c>
      <c r="D39" s="5" t="s">
        <v>125</v>
      </c>
      <c r="E39" s="22" t="n">
        <v>4</v>
      </c>
      <c r="F39" s="23" t="n">
        <v>55000</v>
      </c>
      <c r="G39" s="12" t="n">
        <f aca="false">E39*F39</f>
        <v>220000</v>
      </c>
      <c r="H39" s="24" t="n">
        <v>0.8</v>
      </c>
      <c r="I39" s="24" t="n">
        <v>1.4</v>
      </c>
      <c r="J39" s="12" t="n">
        <f aca="false">G39*H39</f>
        <v>176000</v>
      </c>
      <c r="K39" s="12" t="n">
        <f aca="false">G39*I39</f>
        <v>308000</v>
      </c>
      <c r="L39" s="25"/>
    </row>
    <row r="40" customFormat="false" ht="15" hidden="false" customHeight="false" outlineLevel="0" collapsed="false">
      <c r="A40" s="5" t="s">
        <v>130</v>
      </c>
      <c r="B40" s="20" t="s">
        <v>16</v>
      </c>
      <c r="C40" s="21" t="s">
        <v>131</v>
      </c>
      <c r="D40" s="5" t="s">
        <v>55</v>
      </c>
      <c r="E40" s="22" t="n">
        <v>58</v>
      </c>
      <c r="F40" s="23" t="n">
        <v>4500</v>
      </c>
      <c r="G40" s="12" t="n">
        <f aca="false">E40*F40</f>
        <v>261000</v>
      </c>
      <c r="H40" s="24" t="n">
        <v>0.85</v>
      </c>
      <c r="I40" s="24" t="n">
        <v>1.3</v>
      </c>
      <c r="J40" s="12" t="n">
        <f aca="false">G40*H40</f>
        <v>221850</v>
      </c>
      <c r="K40" s="12" t="n">
        <f aca="false">G40*I40</f>
        <v>339300</v>
      </c>
      <c r="L40" s="25"/>
    </row>
    <row r="41" customFormat="false" ht="15" hidden="false" customHeight="false" outlineLevel="0" collapsed="false">
      <c r="A41" s="5" t="s">
        <v>132</v>
      </c>
      <c r="B41" s="20" t="s">
        <v>16</v>
      </c>
      <c r="C41" s="21" t="s">
        <v>133</v>
      </c>
      <c r="D41" s="5" t="s">
        <v>48</v>
      </c>
      <c r="E41" s="22" t="n">
        <v>1</v>
      </c>
      <c r="F41" s="23" t="n">
        <v>180000</v>
      </c>
      <c r="G41" s="12" t="n">
        <f aca="false">E41*F41</f>
        <v>180000</v>
      </c>
      <c r="H41" s="24" t="n">
        <v>0.8</v>
      </c>
      <c r="I41" s="24" t="n">
        <v>1.4</v>
      </c>
      <c r="J41" s="12" t="n">
        <f aca="false">G41*H41</f>
        <v>144000</v>
      </c>
      <c r="K41" s="12" t="n">
        <f aca="false">G41*I41</f>
        <v>252000</v>
      </c>
      <c r="L41" s="25" t="s">
        <v>134</v>
      </c>
    </row>
    <row r="42" customFormat="false" ht="15" hidden="false" customHeight="false" outlineLevel="0" collapsed="false">
      <c r="A42" s="18" t="s">
        <v>17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customFormat="false" ht="15" hidden="false" customHeight="false" outlineLevel="0" collapsed="false">
      <c r="A43" s="5" t="s">
        <v>135</v>
      </c>
      <c r="B43" s="20" t="s">
        <v>17</v>
      </c>
      <c r="C43" s="21" t="s">
        <v>136</v>
      </c>
      <c r="D43" s="5" t="s">
        <v>55</v>
      </c>
      <c r="E43" s="22" t="n">
        <v>561</v>
      </c>
      <c r="F43" s="23" t="n">
        <v>4600</v>
      </c>
      <c r="G43" s="12" t="n">
        <f aca="false">E43*F43</f>
        <v>2580600</v>
      </c>
      <c r="H43" s="24" t="n">
        <v>0.85</v>
      </c>
      <c r="I43" s="24" t="n">
        <v>1.3</v>
      </c>
      <c r="J43" s="12" t="n">
        <f aca="false">G43*H43</f>
        <v>2193510</v>
      </c>
      <c r="K43" s="12" t="n">
        <f aca="false">G43*I43</f>
        <v>3354780</v>
      </c>
      <c r="L43" s="25" t="s">
        <v>137</v>
      </c>
    </row>
    <row r="44" customFormat="false" ht="15" hidden="false" customHeight="false" outlineLevel="0" collapsed="false">
      <c r="A44" s="5" t="s">
        <v>138</v>
      </c>
      <c r="B44" s="20" t="s">
        <v>17</v>
      </c>
      <c r="C44" s="21" t="s">
        <v>139</v>
      </c>
      <c r="D44" s="5" t="s">
        <v>48</v>
      </c>
      <c r="E44" s="22" t="n">
        <v>1</v>
      </c>
      <c r="F44" s="23" t="n">
        <v>950000</v>
      </c>
      <c r="G44" s="12" t="n">
        <f aca="false">E44*F44</f>
        <v>950000</v>
      </c>
      <c r="H44" s="24" t="n">
        <v>0.8</v>
      </c>
      <c r="I44" s="24" t="n">
        <v>1.3</v>
      </c>
      <c r="J44" s="12" t="n">
        <f aca="false">G44*H44</f>
        <v>760000</v>
      </c>
      <c r="K44" s="12" t="n">
        <f aca="false">G44*I44</f>
        <v>1235000</v>
      </c>
      <c r="L44" s="25"/>
    </row>
    <row r="45" customFormat="false" ht="23.85" hidden="false" customHeight="false" outlineLevel="0" collapsed="false">
      <c r="A45" s="5" t="s">
        <v>140</v>
      </c>
      <c r="B45" s="20" t="s">
        <v>17</v>
      </c>
      <c r="C45" s="21" t="s">
        <v>141</v>
      </c>
      <c r="D45" s="5" t="s">
        <v>48</v>
      </c>
      <c r="E45" s="22" t="n">
        <v>1</v>
      </c>
      <c r="F45" s="23" t="n">
        <v>1200000</v>
      </c>
      <c r="G45" s="12" t="n">
        <f aca="false">E45*F45</f>
        <v>1200000</v>
      </c>
      <c r="H45" s="24" t="n">
        <v>0.7</v>
      </c>
      <c r="I45" s="24" t="n">
        <v>1.6</v>
      </c>
      <c r="J45" s="12" t="n">
        <f aca="false">G45*H45</f>
        <v>840000</v>
      </c>
      <c r="K45" s="12" t="n">
        <f aca="false">G45*I45</f>
        <v>1920000</v>
      </c>
      <c r="L45" s="25"/>
    </row>
    <row r="46" customFormat="false" ht="15" hidden="false" customHeight="false" outlineLevel="0" collapsed="false">
      <c r="A46" s="5" t="s">
        <v>142</v>
      </c>
      <c r="B46" s="20" t="s">
        <v>17</v>
      </c>
      <c r="C46" s="21" t="s">
        <v>143</v>
      </c>
      <c r="D46" s="5" t="s">
        <v>48</v>
      </c>
      <c r="E46" s="22" t="n">
        <v>1</v>
      </c>
      <c r="F46" s="23" t="n">
        <v>650000</v>
      </c>
      <c r="G46" s="12" t="n">
        <f aca="false">E46*F46</f>
        <v>650000</v>
      </c>
      <c r="H46" s="24" t="n">
        <v>0.8</v>
      </c>
      <c r="I46" s="24" t="n">
        <v>1.4</v>
      </c>
      <c r="J46" s="12" t="n">
        <f aca="false">G46*H46</f>
        <v>520000</v>
      </c>
      <c r="K46" s="12" t="n">
        <f aca="false">G46*I46</f>
        <v>910000</v>
      </c>
      <c r="L46" s="25" t="s">
        <v>144</v>
      </c>
    </row>
    <row r="47" customFormat="false" ht="23.85" hidden="false" customHeight="false" outlineLevel="0" collapsed="false">
      <c r="A47" s="5" t="s">
        <v>145</v>
      </c>
      <c r="B47" s="20" t="s">
        <v>17</v>
      </c>
      <c r="C47" s="21" t="s">
        <v>146</v>
      </c>
      <c r="D47" s="5" t="s">
        <v>55</v>
      </c>
      <c r="E47" s="22" t="n">
        <v>561</v>
      </c>
      <c r="F47" s="23" t="n">
        <v>5200</v>
      </c>
      <c r="G47" s="12" t="n">
        <f aca="false">E47*F47</f>
        <v>2917200</v>
      </c>
      <c r="H47" s="24" t="n">
        <v>0.85</v>
      </c>
      <c r="I47" s="24" t="n">
        <v>1.3</v>
      </c>
      <c r="J47" s="12" t="n">
        <f aca="false">G47*H47</f>
        <v>2479620</v>
      </c>
      <c r="K47" s="12" t="n">
        <f aca="false">G47*I47</f>
        <v>3792360</v>
      </c>
      <c r="L47" s="25" t="s">
        <v>147</v>
      </c>
    </row>
    <row r="48" customFormat="false" ht="15" hidden="false" customHeight="false" outlineLevel="0" collapsed="false">
      <c r="A48" s="5" t="s">
        <v>148</v>
      </c>
      <c r="B48" s="20" t="s">
        <v>17</v>
      </c>
      <c r="C48" s="21" t="s">
        <v>149</v>
      </c>
      <c r="D48" s="5" t="s">
        <v>48</v>
      </c>
      <c r="E48" s="22" t="n">
        <v>1</v>
      </c>
      <c r="F48" s="23" t="n">
        <v>1900000</v>
      </c>
      <c r="G48" s="12" t="n">
        <f aca="false">E48*F48</f>
        <v>1900000</v>
      </c>
      <c r="H48" s="24" t="n">
        <v>0.85</v>
      </c>
      <c r="I48" s="24" t="n">
        <v>1.3</v>
      </c>
      <c r="J48" s="12" t="n">
        <f aca="false">G48*H48</f>
        <v>1615000</v>
      </c>
      <c r="K48" s="12" t="n">
        <f aca="false">G48*I48</f>
        <v>2470000</v>
      </c>
      <c r="L48" s="25" t="s">
        <v>150</v>
      </c>
    </row>
    <row r="49" customFormat="false" ht="23.85" hidden="false" customHeight="false" outlineLevel="0" collapsed="false">
      <c r="A49" s="5" t="s">
        <v>151</v>
      </c>
      <c r="B49" s="20" t="s">
        <v>17</v>
      </c>
      <c r="C49" s="21" t="s">
        <v>152</v>
      </c>
      <c r="D49" s="5" t="s">
        <v>48</v>
      </c>
      <c r="E49" s="22" t="n">
        <v>1</v>
      </c>
      <c r="F49" s="23" t="n">
        <v>1750000</v>
      </c>
      <c r="G49" s="12" t="n">
        <f aca="false">E49*F49</f>
        <v>1750000</v>
      </c>
      <c r="H49" s="24" t="n">
        <v>0.85</v>
      </c>
      <c r="I49" s="24" t="n">
        <v>1.35</v>
      </c>
      <c r="J49" s="12" t="n">
        <f aca="false">G49*H49</f>
        <v>1487500</v>
      </c>
      <c r="K49" s="12" t="n">
        <f aca="false">G49*I49</f>
        <v>2362500</v>
      </c>
      <c r="L49" s="25" t="s">
        <v>153</v>
      </c>
    </row>
    <row r="50" customFormat="false" ht="15" hidden="false" customHeight="false" outlineLevel="0" collapsed="false">
      <c r="A50" s="5" t="s">
        <v>154</v>
      </c>
      <c r="B50" s="20" t="s">
        <v>17</v>
      </c>
      <c r="C50" s="21" t="s">
        <v>155</v>
      </c>
      <c r="D50" s="5" t="s">
        <v>48</v>
      </c>
      <c r="E50" s="22" t="n">
        <v>1</v>
      </c>
      <c r="F50" s="23" t="n">
        <v>450000</v>
      </c>
      <c r="G50" s="12" t="n">
        <f aca="false">E50*F50</f>
        <v>450000</v>
      </c>
      <c r="H50" s="24" t="n">
        <v>0.8</v>
      </c>
      <c r="I50" s="24" t="n">
        <v>1.4</v>
      </c>
      <c r="J50" s="12" t="n">
        <f aca="false">G50*H50</f>
        <v>360000</v>
      </c>
      <c r="K50" s="12" t="n">
        <f aca="false">G50*I50</f>
        <v>630000</v>
      </c>
      <c r="L50" s="25"/>
    </row>
    <row r="51" customFormat="false" ht="15" hidden="false" customHeight="false" outlineLevel="0" collapsed="false">
      <c r="A51" s="5" t="s">
        <v>156</v>
      </c>
      <c r="B51" s="20" t="s">
        <v>17</v>
      </c>
      <c r="C51" s="21" t="s">
        <v>157</v>
      </c>
      <c r="D51" s="5" t="s">
        <v>48</v>
      </c>
      <c r="E51" s="22" t="n">
        <v>1</v>
      </c>
      <c r="F51" s="23" t="n">
        <v>2400000</v>
      </c>
      <c r="G51" s="12" t="n">
        <f aca="false">E51*F51</f>
        <v>2400000</v>
      </c>
      <c r="H51" s="24" t="n">
        <v>0.85</v>
      </c>
      <c r="I51" s="24" t="n">
        <v>1.3</v>
      </c>
      <c r="J51" s="12" t="n">
        <f aca="false">G51*H51</f>
        <v>2040000</v>
      </c>
      <c r="K51" s="12" t="n">
        <f aca="false">G51*I51</f>
        <v>3120000</v>
      </c>
      <c r="L51" s="25"/>
    </row>
    <row r="52" customFormat="false" ht="15" hidden="false" customHeight="false" outlineLevel="0" collapsed="false">
      <c r="A52" s="5" t="s">
        <v>158</v>
      </c>
      <c r="B52" s="20" t="s">
        <v>17</v>
      </c>
      <c r="C52" s="21" t="s">
        <v>159</v>
      </c>
      <c r="D52" s="5" t="s">
        <v>48</v>
      </c>
      <c r="E52" s="22" t="n">
        <v>1</v>
      </c>
      <c r="F52" s="23" t="n">
        <v>420000</v>
      </c>
      <c r="G52" s="12" t="n">
        <f aca="false">E52*F52</f>
        <v>420000</v>
      </c>
      <c r="H52" s="24" t="n">
        <v>0.4</v>
      </c>
      <c r="I52" s="24" t="n">
        <v>1.4</v>
      </c>
      <c r="J52" s="12" t="n">
        <f aca="false">G52*H52</f>
        <v>168000</v>
      </c>
      <c r="K52" s="12" t="n">
        <f aca="false">G52*I52</f>
        <v>588000</v>
      </c>
      <c r="L52" s="25" t="s">
        <v>160</v>
      </c>
    </row>
    <row r="53" customFormat="false" ht="15" hidden="false" customHeight="false" outlineLevel="0" collapsed="false">
      <c r="A53" s="5" t="s">
        <v>161</v>
      </c>
      <c r="B53" s="20" t="s">
        <v>17</v>
      </c>
      <c r="C53" s="21" t="s">
        <v>162</v>
      </c>
      <c r="D53" s="5" t="s">
        <v>48</v>
      </c>
      <c r="E53" s="22" t="n">
        <v>1</v>
      </c>
      <c r="F53" s="23" t="n">
        <v>380000</v>
      </c>
      <c r="G53" s="12" t="n">
        <f aca="false">E53*F53</f>
        <v>380000</v>
      </c>
      <c r="H53" s="24" t="n">
        <v>0.8</v>
      </c>
      <c r="I53" s="24" t="n">
        <v>1.5</v>
      </c>
      <c r="J53" s="12" t="n">
        <f aca="false">G53*H53</f>
        <v>304000</v>
      </c>
      <c r="K53" s="12" t="n">
        <f aca="false">G53*I53</f>
        <v>570000</v>
      </c>
      <c r="L53" s="25" t="s">
        <v>163</v>
      </c>
    </row>
    <row r="54" customFormat="false" ht="15" hidden="false" customHeight="false" outlineLevel="0" collapsed="false">
      <c r="A54" s="5" t="s">
        <v>164</v>
      </c>
      <c r="B54" s="20" t="s">
        <v>17</v>
      </c>
      <c r="C54" s="21" t="s">
        <v>165</v>
      </c>
      <c r="D54" s="5" t="s">
        <v>166</v>
      </c>
      <c r="E54" s="22" t="n">
        <v>32</v>
      </c>
      <c r="F54" s="23" t="n">
        <v>26000</v>
      </c>
      <c r="G54" s="12" t="n">
        <f aca="false">E54*F54</f>
        <v>832000</v>
      </c>
      <c r="H54" s="24" t="n">
        <v>0.85</v>
      </c>
      <c r="I54" s="24" t="n">
        <v>1.3</v>
      </c>
      <c r="J54" s="12" t="n">
        <f aca="false">G54*H54</f>
        <v>707200</v>
      </c>
      <c r="K54" s="12" t="n">
        <f aca="false">G54*I54</f>
        <v>1081600</v>
      </c>
      <c r="L54" s="25"/>
    </row>
    <row r="55" customFormat="false" ht="15" hidden="false" customHeight="false" outlineLevel="0" collapsed="false">
      <c r="A55" s="5" t="s">
        <v>167</v>
      </c>
      <c r="B55" s="20" t="s">
        <v>17</v>
      </c>
      <c r="C55" s="21" t="s">
        <v>168</v>
      </c>
      <c r="D55" s="5" t="s">
        <v>125</v>
      </c>
      <c r="E55" s="22" t="n">
        <v>1</v>
      </c>
      <c r="F55" s="23" t="n">
        <v>120000</v>
      </c>
      <c r="G55" s="12" t="n">
        <f aca="false">E55*F55</f>
        <v>120000</v>
      </c>
      <c r="H55" s="24" t="n">
        <v>0.8</v>
      </c>
      <c r="I55" s="24" t="n">
        <v>1.3</v>
      </c>
      <c r="J55" s="12" t="n">
        <f aca="false">G55*H55</f>
        <v>96000</v>
      </c>
      <c r="K55" s="12" t="n">
        <f aca="false">G55*I55</f>
        <v>156000</v>
      </c>
      <c r="L55" s="25"/>
    </row>
    <row r="56" customFormat="false" ht="15" hidden="false" customHeight="false" outlineLevel="0" collapsed="false">
      <c r="A56" s="5" t="s">
        <v>169</v>
      </c>
      <c r="B56" s="20" t="s">
        <v>17</v>
      </c>
      <c r="C56" s="21" t="s">
        <v>170</v>
      </c>
      <c r="D56" s="5" t="s">
        <v>48</v>
      </c>
      <c r="E56" s="22" t="n">
        <v>1</v>
      </c>
      <c r="F56" s="23" t="n">
        <v>1900000</v>
      </c>
      <c r="G56" s="12" t="n">
        <f aca="false">E56*F56</f>
        <v>1900000</v>
      </c>
      <c r="H56" s="24" t="n">
        <v>0.7</v>
      </c>
      <c r="I56" s="24" t="n">
        <v>1.6</v>
      </c>
      <c r="J56" s="12" t="n">
        <f aca="false">G56*H56</f>
        <v>1330000</v>
      </c>
      <c r="K56" s="12" t="n">
        <f aca="false">G56*I56</f>
        <v>3040000</v>
      </c>
      <c r="L56" s="25" t="s">
        <v>171</v>
      </c>
    </row>
    <row r="57" customFormat="false" ht="15" hidden="false" customHeight="false" outlineLevel="0" collapsed="false">
      <c r="A57" s="5" t="s">
        <v>172</v>
      </c>
      <c r="B57" s="20" t="s">
        <v>17</v>
      </c>
      <c r="C57" s="21" t="s">
        <v>173</v>
      </c>
      <c r="D57" s="5" t="s">
        <v>48</v>
      </c>
      <c r="E57" s="22" t="n">
        <v>1</v>
      </c>
      <c r="F57" s="23" t="n">
        <v>160000</v>
      </c>
      <c r="G57" s="12" t="n">
        <f aca="false">E57*F57</f>
        <v>160000</v>
      </c>
      <c r="H57" s="24" t="n">
        <v>0.8</v>
      </c>
      <c r="I57" s="24" t="n">
        <v>1.4</v>
      </c>
      <c r="J57" s="12" t="n">
        <f aca="false">G57*H57</f>
        <v>128000</v>
      </c>
      <c r="K57" s="12" t="n">
        <f aca="false">G57*I57</f>
        <v>224000</v>
      </c>
      <c r="L57" s="25"/>
    </row>
    <row r="58" customFormat="false" ht="15" hidden="false" customHeight="false" outlineLevel="0" collapsed="false">
      <c r="A58" s="5" t="s">
        <v>174</v>
      </c>
      <c r="B58" s="20" t="s">
        <v>17</v>
      </c>
      <c r="C58" s="21" t="s">
        <v>175</v>
      </c>
      <c r="D58" s="5" t="s">
        <v>48</v>
      </c>
      <c r="E58" s="22" t="n">
        <v>1</v>
      </c>
      <c r="F58" s="23" t="n">
        <v>850000</v>
      </c>
      <c r="G58" s="12" t="n">
        <f aca="false">E58*F58</f>
        <v>850000</v>
      </c>
      <c r="H58" s="24" t="n">
        <v>0.8</v>
      </c>
      <c r="I58" s="24" t="n">
        <v>1.3</v>
      </c>
      <c r="J58" s="12" t="n">
        <f aca="false">G58*H58</f>
        <v>680000</v>
      </c>
      <c r="K58" s="12" t="n">
        <f aca="false">G58*I58</f>
        <v>1105000</v>
      </c>
      <c r="L58" s="25"/>
    </row>
    <row r="59" customFormat="false" ht="15" hidden="false" customHeight="false" outlineLevel="0" collapsed="false">
      <c r="A59" s="5" t="s">
        <v>176</v>
      </c>
      <c r="B59" s="20" t="s">
        <v>17</v>
      </c>
      <c r="C59" s="21" t="s">
        <v>177</v>
      </c>
      <c r="D59" s="5" t="s">
        <v>48</v>
      </c>
      <c r="E59" s="22" t="n">
        <v>1</v>
      </c>
      <c r="F59" s="23" t="n">
        <v>120000</v>
      </c>
      <c r="G59" s="12" t="n">
        <f aca="false">E59*F59</f>
        <v>120000</v>
      </c>
      <c r="H59" s="24" t="n">
        <v>0.8</v>
      </c>
      <c r="I59" s="24" t="n">
        <v>1.5</v>
      </c>
      <c r="J59" s="12" t="n">
        <f aca="false">G59*H59</f>
        <v>96000</v>
      </c>
      <c r="K59" s="12" t="n">
        <f aca="false">G59*I59</f>
        <v>180000</v>
      </c>
      <c r="L59" s="25" t="s">
        <v>178</v>
      </c>
    </row>
    <row r="60" customFormat="false" ht="15" hidden="false" customHeight="false" outlineLevel="0" collapsed="false">
      <c r="A60" s="5" t="s">
        <v>179</v>
      </c>
      <c r="B60" s="20" t="s">
        <v>17</v>
      </c>
      <c r="C60" s="21" t="s">
        <v>180</v>
      </c>
      <c r="D60" s="5" t="s">
        <v>48</v>
      </c>
      <c r="E60" s="22" t="n">
        <v>1</v>
      </c>
      <c r="F60" s="23" t="n">
        <v>70000</v>
      </c>
      <c r="G60" s="12" t="n">
        <f aca="false">E60*F60</f>
        <v>70000</v>
      </c>
      <c r="H60" s="24" t="n">
        <v>0.8</v>
      </c>
      <c r="I60" s="24" t="n">
        <v>1.5</v>
      </c>
      <c r="J60" s="12" t="n">
        <f aca="false">G60*H60</f>
        <v>56000</v>
      </c>
      <c r="K60" s="12" t="n">
        <f aca="false">G60*I60</f>
        <v>105000</v>
      </c>
      <c r="L60" s="25" t="s">
        <v>181</v>
      </c>
    </row>
    <row r="61" customFormat="false" ht="15" hidden="false" customHeight="false" outlineLevel="0" collapsed="false">
      <c r="A61" s="18" t="s">
        <v>18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customFormat="false" ht="23.85" hidden="false" customHeight="false" outlineLevel="0" collapsed="false">
      <c r="A62" s="5" t="s">
        <v>182</v>
      </c>
      <c r="B62" s="20" t="s">
        <v>18</v>
      </c>
      <c r="C62" s="21" t="s">
        <v>183</v>
      </c>
      <c r="D62" s="5" t="s">
        <v>48</v>
      </c>
      <c r="E62" s="22" t="n">
        <v>1</v>
      </c>
      <c r="F62" s="23" t="n">
        <v>1050000</v>
      </c>
      <c r="G62" s="12" t="n">
        <f aca="false">E62*F62</f>
        <v>1050000</v>
      </c>
      <c r="H62" s="24" t="n">
        <v>0.8</v>
      </c>
      <c r="I62" s="24" t="n">
        <v>1.4</v>
      </c>
      <c r="J62" s="12" t="n">
        <f aca="false">G62*H62</f>
        <v>840000</v>
      </c>
      <c r="K62" s="12" t="n">
        <f aca="false">G62*I62</f>
        <v>1470000</v>
      </c>
      <c r="L62" s="25"/>
    </row>
    <row r="63" customFormat="false" ht="15" hidden="false" customHeight="false" outlineLevel="0" collapsed="false">
      <c r="A63" s="5" t="s">
        <v>184</v>
      </c>
      <c r="B63" s="20" t="s">
        <v>18</v>
      </c>
      <c r="C63" s="21" t="s">
        <v>185</v>
      </c>
      <c r="D63" s="5" t="s">
        <v>48</v>
      </c>
      <c r="E63" s="22" t="n">
        <v>1</v>
      </c>
      <c r="F63" s="23" t="n">
        <v>520000</v>
      </c>
      <c r="G63" s="12" t="n">
        <f aca="false">E63*F63</f>
        <v>520000</v>
      </c>
      <c r="H63" s="24" t="n">
        <v>0.8</v>
      </c>
      <c r="I63" s="24" t="n">
        <v>1.5</v>
      </c>
      <c r="J63" s="12" t="n">
        <f aca="false">G63*H63</f>
        <v>416000</v>
      </c>
      <c r="K63" s="12" t="n">
        <f aca="false">G63*I63</f>
        <v>780000</v>
      </c>
      <c r="L63" s="25"/>
    </row>
    <row r="64" customFormat="false" ht="23.85" hidden="false" customHeight="false" outlineLevel="0" collapsed="false">
      <c r="A64" s="5" t="s">
        <v>186</v>
      </c>
      <c r="B64" s="20" t="s">
        <v>18</v>
      </c>
      <c r="C64" s="21" t="s">
        <v>187</v>
      </c>
      <c r="D64" s="5" t="s">
        <v>48</v>
      </c>
      <c r="E64" s="22" t="n">
        <v>1</v>
      </c>
      <c r="F64" s="23" t="n">
        <v>380000</v>
      </c>
      <c r="G64" s="12" t="n">
        <f aca="false">E64*F64</f>
        <v>380000</v>
      </c>
      <c r="H64" s="24" t="n">
        <v>0.8</v>
      </c>
      <c r="I64" s="24" t="n">
        <v>1.4</v>
      </c>
      <c r="J64" s="12" t="n">
        <f aca="false">G64*H64</f>
        <v>304000</v>
      </c>
      <c r="K64" s="12" t="n">
        <f aca="false">G64*I64</f>
        <v>532000</v>
      </c>
      <c r="L64" s="25"/>
    </row>
    <row r="65" customFormat="false" ht="23.85" hidden="false" customHeight="false" outlineLevel="0" collapsed="false">
      <c r="A65" s="5" t="s">
        <v>188</v>
      </c>
      <c r="B65" s="20" t="s">
        <v>18</v>
      </c>
      <c r="C65" s="21" t="s">
        <v>189</v>
      </c>
      <c r="D65" s="5" t="s">
        <v>48</v>
      </c>
      <c r="E65" s="22" t="n">
        <v>1</v>
      </c>
      <c r="F65" s="23" t="n">
        <v>1250000</v>
      </c>
      <c r="G65" s="12" t="n">
        <f aca="false">E65*F65</f>
        <v>1250000</v>
      </c>
      <c r="H65" s="24" t="n">
        <v>0.8</v>
      </c>
      <c r="I65" s="24" t="n">
        <v>1.4</v>
      </c>
      <c r="J65" s="12" t="n">
        <f aca="false">G65*H65</f>
        <v>1000000</v>
      </c>
      <c r="K65" s="12" t="n">
        <f aca="false">G65*I65</f>
        <v>1750000</v>
      </c>
      <c r="L65" s="25"/>
    </row>
    <row r="66" customFormat="false" ht="15" hidden="false" customHeight="false" outlineLevel="0" collapsed="false">
      <c r="A66" s="5" t="s">
        <v>190</v>
      </c>
      <c r="B66" s="20" t="s">
        <v>18</v>
      </c>
      <c r="C66" s="21" t="s">
        <v>191</v>
      </c>
      <c r="D66" s="5" t="s">
        <v>48</v>
      </c>
      <c r="E66" s="22" t="n">
        <v>1</v>
      </c>
      <c r="F66" s="23" t="n">
        <v>180000</v>
      </c>
      <c r="G66" s="12" t="n">
        <f aca="false">E66*F66</f>
        <v>180000</v>
      </c>
      <c r="H66" s="24" t="n">
        <v>0.8</v>
      </c>
      <c r="I66" s="24" t="n">
        <v>1.4</v>
      </c>
      <c r="J66" s="12" t="n">
        <f aca="false">G66*H66</f>
        <v>144000</v>
      </c>
      <c r="K66" s="12" t="n">
        <f aca="false">G66*I66</f>
        <v>252000</v>
      </c>
      <c r="L66" s="25"/>
    </row>
    <row r="67" customFormat="false" ht="15" hidden="false" customHeight="false" outlineLevel="0" collapsed="false">
      <c r="A67" s="5" t="s">
        <v>192</v>
      </c>
      <c r="B67" s="20" t="s">
        <v>18</v>
      </c>
      <c r="C67" s="21" t="s">
        <v>193</v>
      </c>
      <c r="D67" s="5" t="s">
        <v>48</v>
      </c>
      <c r="E67" s="22" t="n">
        <v>1</v>
      </c>
      <c r="F67" s="23" t="n">
        <v>450000</v>
      </c>
      <c r="G67" s="12" t="n">
        <f aca="false">E67*F67</f>
        <v>450000</v>
      </c>
      <c r="H67" s="24" t="n">
        <v>0.7</v>
      </c>
      <c r="I67" s="24" t="n">
        <v>1.6</v>
      </c>
      <c r="J67" s="12" t="n">
        <f aca="false">G67*H67</f>
        <v>315000</v>
      </c>
      <c r="K67" s="12" t="n">
        <f aca="false">G67*I67</f>
        <v>720000</v>
      </c>
      <c r="L67" s="25"/>
    </row>
    <row r="68" customFormat="false" ht="15" hidden="false" customHeight="false" outlineLevel="0" collapsed="false">
      <c r="A68" s="18" t="s">
        <v>19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customFormat="false" ht="23.85" hidden="false" customHeight="false" outlineLevel="0" collapsed="false">
      <c r="A69" s="5" t="s">
        <v>194</v>
      </c>
      <c r="B69" s="20" t="s">
        <v>19</v>
      </c>
      <c r="C69" s="21" t="s">
        <v>195</v>
      </c>
      <c r="D69" s="5" t="s">
        <v>55</v>
      </c>
      <c r="E69" s="22" t="n">
        <v>235.8</v>
      </c>
      <c r="F69" s="23" t="n">
        <v>24000</v>
      </c>
      <c r="G69" s="12" t="n">
        <f aca="false">E69*F69</f>
        <v>5659200</v>
      </c>
      <c r="H69" s="24" t="n">
        <v>0.8</v>
      </c>
      <c r="I69" s="24" t="n">
        <v>1.5</v>
      </c>
      <c r="J69" s="12" t="n">
        <f aca="false">G69*H69</f>
        <v>4527360</v>
      </c>
      <c r="K69" s="12" t="n">
        <f aca="false">G69*I69</f>
        <v>8488800</v>
      </c>
      <c r="L69" s="25" t="s">
        <v>196</v>
      </c>
    </row>
    <row r="70" customFormat="false" ht="15" hidden="false" customHeight="false" outlineLevel="0" collapsed="false">
      <c r="A70" s="5" t="s">
        <v>197</v>
      </c>
      <c r="B70" s="20" t="s">
        <v>19</v>
      </c>
      <c r="C70" s="21" t="s">
        <v>198</v>
      </c>
      <c r="D70" s="5" t="s">
        <v>55</v>
      </c>
      <c r="E70" s="22" t="n">
        <v>37.1</v>
      </c>
      <c r="F70" s="23" t="n">
        <v>32000</v>
      </c>
      <c r="G70" s="12" t="n">
        <f aca="false">E70*F70</f>
        <v>1187200</v>
      </c>
      <c r="H70" s="24" t="n">
        <v>0.8</v>
      </c>
      <c r="I70" s="24" t="n">
        <v>1.5</v>
      </c>
      <c r="J70" s="12" t="n">
        <f aca="false">G70*H70</f>
        <v>949760</v>
      </c>
      <c r="K70" s="12" t="n">
        <f aca="false">G70*I70</f>
        <v>1780800</v>
      </c>
      <c r="L70" s="25"/>
    </row>
    <row r="71" customFormat="false" ht="15" hidden="false" customHeight="false" outlineLevel="0" collapsed="false">
      <c r="A71" s="5" t="s">
        <v>199</v>
      </c>
      <c r="B71" s="20" t="s">
        <v>19</v>
      </c>
      <c r="C71" s="21" t="s">
        <v>200</v>
      </c>
      <c r="D71" s="5" t="s">
        <v>55</v>
      </c>
      <c r="E71" s="22" t="n">
        <v>57.6</v>
      </c>
      <c r="F71" s="23" t="n">
        <v>30000</v>
      </c>
      <c r="G71" s="12" t="n">
        <f aca="false">E71*F71</f>
        <v>1728000</v>
      </c>
      <c r="H71" s="24" t="n">
        <v>0.8</v>
      </c>
      <c r="I71" s="24" t="n">
        <v>1.4</v>
      </c>
      <c r="J71" s="12" t="n">
        <f aca="false">G71*H71</f>
        <v>1382400</v>
      </c>
      <c r="K71" s="12" t="n">
        <f aca="false">G71*I71</f>
        <v>2419200</v>
      </c>
      <c r="L71" s="25"/>
    </row>
    <row r="72" customFormat="false" ht="15" hidden="false" customHeight="false" outlineLevel="0" collapsed="false">
      <c r="A72" s="5" t="s">
        <v>201</v>
      </c>
      <c r="B72" s="20" t="s">
        <v>19</v>
      </c>
      <c r="C72" s="21" t="s">
        <v>202</v>
      </c>
      <c r="D72" s="5" t="s">
        <v>55</v>
      </c>
      <c r="E72" s="22" t="n">
        <v>153.7</v>
      </c>
      <c r="F72" s="23" t="n">
        <v>8000</v>
      </c>
      <c r="G72" s="12" t="n">
        <f aca="false">E72*F72</f>
        <v>1229600</v>
      </c>
      <c r="H72" s="24" t="n">
        <v>0.8</v>
      </c>
      <c r="I72" s="24" t="n">
        <v>1.3</v>
      </c>
      <c r="J72" s="12" t="n">
        <f aca="false">G72*H72</f>
        <v>983680</v>
      </c>
      <c r="K72" s="12" t="n">
        <f aca="false">G72*I72</f>
        <v>1598480</v>
      </c>
      <c r="L72" s="25"/>
    </row>
    <row r="73" customFormat="false" ht="15" hidden="false" customHeight="false" outlineLevel="0" collapsed="false">
      <c r="A73" s="5" t="s">
        <v>203</v>
      </c>
      <c r="B73" s="20" t="s">
        <v>19</v>
      </c>
      <c r="C73" s="21" t="s">
        <v>204</v>
      </c>
      <c r="D73" s="5" t="s">
        <v>48</v>
      </c>
      <c r="E73" s="22" t="n">
        <v>1</v>
      </c>
      <c r="F73" s="23" t="n">
        <v>650000</v>
      </c>
      <c r="G73" s="12" t="n">
        <f aca="false">E73*F73</f>
        <v>650000</v>
      </c>
      <c r="H73" s="24" t="n">
        <v>0.7</v>
      </c>
      <c r="I73" s="24" t="n">
        <v>1.6</v>
      </c>
      <c r="J73" s="12" t="n">
        <f aca="false">G73*H73</f>
        <v>455000</v>
      </c>
      <c r="K73" s="12" t="n">
        <f aca="false">G73*I73</f>
        <v>1040000</v>
      </c>
      <c r="L73" s="25"/>
    </row>
    <row r="74" customFormat="false" ht="15" hidden="false" customHeight="false" outlineLevel="0" collapsed="false">
      <c r="A74" s="5" t="s">
        <v>205</v>
      </c>
      <c r="B74" s="20" t="s">
        <v>19</v>
      </c>
      <c r="C74" s="21" t="s">
        <v>206</v>
      </c>
      <c r="D74" s="5" t="s">
        <v>125</v>
      </c>
      <c r="E74" s="22" t="n">
        <v>21</v>
      </c>
      <c r="F74" s="23" t="n">
        <v>55000</v>
      </c>
      <c r="G74" s="12" t="n">
        <f aca="false">E74*F74</f>
        <v>1155000</v>
      </c>
      <c r="H74" s="24" t="n">
        <v>0.75</v>
      </c>
      <c r="I74" s="24" t="n">
        <v>1.6</v>
      </c>
      <c r="J74" s="12" t="n">
        <f aca="false">G74*H74</f>
        <v>866250</v>
      </c>
      <c r="K74" s="12" t="n">
        <f aca="false">G74*I74</f>
        <v>1848000</v>
      </c>
      <c r="L74" s="25"/>
    </row>
    <row r="75" customFormat="false" ht="15" hidden="false" customHeight="false" outlineLevel="0" collapsed="false">
      <c r="A75" s="18" t="s">
        <v>20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customFormat="false" ht="15" hidden="false" customHeight="false" outlineLevel="0" collapsed="false">
      <c r="A76" s="5" t="s">
        <v>207</v>
      </c>
      <c r="B76" s="20" t="s">
        <v>20</v>
      </c>
      <c r="C76" s="21" t="s">
        <v>208</v>
      </c>
      <c r="D76" s="5" t="s">
        <v>48</v>
      </c>
      <c r="E76" s="22" t="n">
        <v>1</v>
      </c>
      <c r="F76" s="23" t="n">
        <v>2300000</v>
      </c>
      <c r="G76" s="12" t="n">
        <f aca="false">E76*F76</f>
        <v>2300000</v>
      </c>
      <c r="H76" s="24" t="n">
        <v>0.7</v>
      </c>
      <c r="I76" s="24" t="n">
        <v>1.8</v>
      </c>
      <c r="J76" s="12" t="n">
        <f aca="false">G76*H76</f>
        <v>1610000</v>
      </c>
      <c r="K76" s="12" t="n">
        <f aca="false">G76*I76</f>
        <v>4140000</v>
      </c>
      <c r="L76" s="25"/>
    </row>
    <row r="77" customFormat="false" ht="23.85" hidden="false" customHeight="false" outlineLevel="0" collapsed="false">
      <c r="A77" s="5" t="s">
        <v>209</v>
      </c>
      <c r="B77" s="20" t="s">
        <v>20</v>
      </c>
      <c r="C77" s="21" t="s">
        <v>210</v>
      </c>
      <c r="D77" s="5" t="s">
        <v>211</v>
      </c>
      <c r="E77" s="22" t="n">
        <v>45</v>
      </c>
      <c r="F77" s="23" t="n">
        <v>42000</v>
      </c>
      <c r="G77" s="12" t="n">
        <f aca="false">E77*F77</f>
        <v>1890000</v>
      </c>
      <c r="H77" s="24" t="n">
        <v>0.75</v>
      </c>
      <c r="I77" s="24" t="n">
        <v>1.5</v>
      </c>
      <c r="J77" s="12" t="n">
        <f aca="false">G77*H77</f>
        <v>1417500</v>
      </c>
      <c r="K77" s="12" t="n">
        <f aca="false">G77*I77</f>
        <v>2835000</v>
      </c>
      <c r="L77" s="25"/>
    </row>
    <row r="78" customFormat="false" ht="15" hidden="false" customHeight="false" outlineLevel="0" collapsed="false">
      <c r="A78" s="5" t="s">
        <v>212</v>
      </c>
      <c r="B78" s="20" t="s">
        <v>20</v>
      </c>
      <c r="C78" s="21" t="s">
        <v>213</v>
      </c>
      <c r="D78" s="5" t="s">
        <v>48</v>
      </c>
      <c r="E78" s="22" t="n">
        <v>1</v>
      </c>
      <c r="F78" s="23" t="n">
        <v>450000</v>
      </c>
      <c r="G78" s="12" t="n">
        <f aca="false">E78*F78</f>
        <v>450000</v>
      </c>
      <c r="H78" s="24" t="n">
        <v>0.75</v>
      </c>
      <c r="I78" s="24" t="n">
        <v>1.5</v>
      </c>
      <c r="J78" s="12" t="n">
        <f aca="false">G78*H78</f>
        <v>337500</v>
      </c>
      <c r="K78" s="12" t="n">
        <f aca="false">G78*I78</f>
        <v>675000</v>
      </c>
      <c r="L78" s="25"/>
    </row>
    <row r="79" customFormat="false" ht="15" hidden="false" customHeight="false" outlineLevel="0" collapsed="false">
      <c r="A79" s="5" t="s">
        <v>214</v>
      </c>
      <c r="B79" s="20" t="s">
        <v>20</v>
      </c>
      <c r="C79" s="21" t="s">
        <v>215</v>
      </c>
      <c r="D79" s="5" t="s">
        <v>48</v>
      </c>
      <c r="E79" s="22" t="n">
        <v>1</v>
      </c>
      <c r="F79" s="23" t="n">
        <v>220000</v>
      </c>
      <c r="G79" s="12" t="n">
        <f aca="false">E79*F79</f>
        <v>220000</v>
      </c>
      <c r="H79" s="24" t="n">
        <v>0.8</v>
      </c>
      <c r="I79" s="24" t="n">
        <v>1.4</v>
      </c>
      <c r="J79" s="12" t="n">
        <f aca="false">G79*H79</f>
        <v>176000</v>
      </c>
      <c r="K79" s="12" t="n">
        <f aca="false">G79*I79</f>
        <v>308000</v>
      </c>
      <c r="L79" s="25"/>
    </row>
    <row r="80" customFormat="false" ht="15" hidden="false" customHeight="false" outlineLevel="0" collapsed="false">
      <c r="A80" s="18" t="s">
        <v>21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customFormat="false" ht="15" hidden="false" customHeight="false" outlineLevel="0" collapsed="false">
      <c r="A81" s="5" t="s">
        <v>216</v>
      </c>
      <c r="B81" s="20" t="s">
        <v>21</v>
      </c>
      <c r="C81" s="21" t="s">
        <v>217</v>
      </c>
      <c r="D81" s="5" t="s">
        <v>48</v>
      </c>
      <c r="E81" s="22" t="n">
        <v>1</v>
      </c>
      <c r="F81" s="23" t="n">
        <v>357893</v>
      </c>
      <c r="G81" s="12" t="n">
        <f aca="false">E81*F81</f>
        <v>357893</v>
      </c>
      <c r="H81" s="24" t="n">
        <v>1</v>
      </c>
      <c r="I81" s="24" t="n">
        <v>1</v>
      </c>
      <c r="J81" s="12" t="n">
        <f aca="false">G81*H81</f>
        <v>357893</v>
      </c>
      <c r="K81" s="12" t="n">
        <f aca="false">G81*I81</f>
        <v>357893</v>
      </c>
      <c r="L81" s="25" t="s">
        <v>218</v>
      </c>
    </row>
    <row r="82" customFormat="false" ht="15" hidden="false" customHeight="false" outlineLevel="0" collapsed="false">
      <c r="A82" s="5" t="s">
        <v>219</v>
      </c>
      <c r="B82" s="20" t="s">
        <v>21</v>
      </c>
      <c r="C82" s="21" t="s">
        <v>220</v>
      </c>
      <c r="D82" s="5" t="s">
        <v>48</v>
      </c>
      <c r="E82" s="22" t="n">
        <v>1</v>
      </c>
      <c r="F82" s="23" t="n">
        <v>750000</v>
      </c>
      <c r="G82" s="12" t="n">
        <f aca="false">E82*F82</f>
        <v>750000</v>
      </c>
      <c r="H82" s="24" t="n">
        <v>0.55</v>
      </c>
      <c r="I82" s="24" t="n">
        <v>1.75</v>
      </c>
      <c r="J82" s="12" t="n">
        <f aca="false">G82*H82</f>
        <v>412500</v>
      </c>
      <c r="K82" s="12" t="n">
        <f aca="false">G82*I82</f>
        <v>1312500</v>
      </c>
      <c r="L82" s="25" t="s">
        <v>221</v>
      </c>
    </row>
    <row r="83" customFormat="false" ht="15" hidden="false" customHeight="false" outlineLevel="0" collapsed="false">
      <c r="A83" s="5" t="s">
        <v>222</v>
      </c>
      <c r="B83" s="20" t="s">
        <v>21</v>
      </c>
      <c r="C83" s="21" t="s">
        <v>223</v>
      </c>
      <c r="D83" s="5" t="s">
        <v>48</v>
      </c>
      <c r="E83" s="22" t="n">
        <v>1</v>
      </c>
      <c r="F83" s="23" t="n">
        <v>450000</v>
      </c>
      <c r="G83" s="12" t="n">
        <f aca="false">E83*F83</f>
        <v>450000</v>
      </c>
      <c r="H83" s="24" t="n">
        <v>0.7</v>
      </c>
      <c r="I83" s="24" t="n">
        <v>1.6</v>
      </c>
      <c r="J83" s="12" t="n">
        <f aca="false">G83*H83</f>
        <v>315000</v>
      </c>
      <c r="K83" s="12" t="n">
        <f aca="false">G83*I83</f>
        <v>720000</v>
      </c>
      <c r="L83" s="25" t="s">
        <v>224</v>
      </c>
    </row>
    <row r="84" customFormat="false" ht="15" hidden="false" customHeight="false" outlineLevel="0" collapsed="false">
      <c r="A84" s="5" t="s">
        <v>225</v>
      </c>
      <c r="B84" s="20" t="s">
        <v>21</v>
      </c>
      <c r="C84" s="21" t="s">
        <v>226</v>
      </c>
      <c r="D84" s="5" t="s">
        <v>48</v>
      </c>
      <c r="E84" s="22" t="n">
        <v>1</v>
      </c>
      <c r="F84" s="23" t="n">
        <v>360000</v>
      </c>
      <c r="G84" s="12" t="n">
        <f aca="false">E84*F84</f>
        <v>360000</v>
      </c>
      <c r="H84" s="24" t="n">
        <v>0.85</v>
      </c>
      <c r="I84" s="24" t="n">
        <v>1.3</v>
      </c>
      <c r="J84" s="12" t="n">
        <f aca="false">G84*H84</f>
        <v>306000</v>
      </c>
      <c r="K84" s="12" t="n">
        <f aca="false">G84*I84</f>
        <v>468000</v>
      </c>
      <c r="L84" s="25"/>
    </row>
    <row r="85" customFormat="false" ht="15" hidden="false" customHeight="false" outlineLevel="0" collapsed="false">
      <c r="A85" s="5" t="s">
        <v>227</v>
      </c>
      <c r="B85" s="20" t="s">
        <v>21</v>
      </c>
      <c r="C85" s="21" t="s">
        <v>228</v>
      </c>
      <c r="D85" s="5" t="s">
        <v>229</v>
      </c>
      <c r="E85" s="22" t="n">
        <v>45</v>
      </c>
      <c r="F85" s="23" t="n">
        <v>5500</v>
      </c>
      <c r="G85" s="12" t="n">
        <f aca="false">E85*F85</f>
        <v>247500</v>
      </c>
      <c r="H85" s="24" t="n">
        <v>0.8</v>
      </c>
      <c r="I85" s="24" t="n">
        <v>1.4</v>
      </c>
      <c r="J85" s="12" t="n">
        <f aca="false">G85*H85</f>
        <v>198000</v>
      </c>
      <c r="K85" s="12" t="n">
        <f aca="false">G85*I85</f>
        <v>346500</v>
      </c>
      <c r="L85" s="25" t="s">
        <v>230</v>
      </c>
    </row>
    <row r="86" customFormat="false" ht="15" hidden="false" customHeight="false" outlineLevel="0" collapsed="false">
      <c r="A86" s="5" t="s">
        <v>231</v>
      </c>
      <c r="B86" s="20" t="s">
        <v>21</v>
      </c>
      <c r="C86" s="21" t="s">
        <v>232</v>
      </c>
      <c r="D86" s="5" t="s">
        <v>229</v>
      </c>
      <c r="E86" s="22" t="n">
        <v>140</v>
      </c>
      <c r="F86" s="23" t="n">
        <v>4800</v>
      </c>
      <c r="G86" s="12" t="n">
        <f aca="false">E86*F86</f>
        <v>672000</v>
      </c>
      <c r="H86" s="24" t="n">
        <v>0.85</v>
      </c>
      <c r="I86" s="24" t="n">
        <v>1.3</v>
      </c>
      <c r="J86" s="12" t="n">
        <f aca="false">G86*H86</f>
        <v>571200</v>
      </c>
      <c r="K86" s="12" t="n">
        <f aca="false">G86*I86</f>
        <v>873600</v>
      </c>
      <c r="L86" s="25"/>
    </row>
    <row r="87" customFormat="false" ht="15" hidden="false" customHeight="false" outlineLevel="0" collapsed="false">
      <c r="A87" s="5" t="s">
        <v>233</v>
      </c>
      <c r="B87" s="20" t="s">
        <v>21</v>
      </c>
      <c r="C87" s="21" t="s">
        <v>234</v>
      </c>
      <c r="D87" s="5" t="s">
        <v>229</v>
      </c>
      <c r="E87" s="22" t="n">
        <v>120</v>
      </c>
      <c r="F87" s="23" t="n">
        <v>2200</v>
      </c>
      <c r="G87" s="12" t="n">
        <f aca="false">E87*F87</f>
        <v>264000</v>
      </c>
      <c r="H87" s="24" t="n">
        <v>0.8</v>
      </c>
      <c r="I87" s="24" t="n">
        <v>1.3</v>
      </c>
      <c r="J87" s="12" t="n">
        <f aca="false">G87*H87</f>
        <v>211200</v>
      </c>
      <c r="K87" s="12" t="n">
        <f aca="false">G87*I87</f>
        <v>343200</v>
      </c>
      <c r="L87" s="25"/>
    </row>
    <row r="88" customFormat="false" ht="15" hidden="false" customHeight="false" outlineLevel="0" collapsed="false">
      <c r="A88" s="18" t="s">
        <v>22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customFormat="false" ht="15" hidden="false" customHeight="false" outlineLevel="0" collapsed="false">
      <c r="A89" s="5" t="s">
        <v>235</v>
      </c>
      <c r="B89" s="20" t="s">
        <v>22</v>
      </c>
      <c r="C89" s="21" t="s">
        <v>236</v>
      </c>
      <c r="D89" s="5" t="s">
        <v>55</v>
      </c>
      <c r="E89" s="22" t="n">
        <v>115.5</v>
      </c>
      <c r="F89" s="23" t="n">
        <v>7500</v>
      </c>
      <c r="G89" s="12" t="n">
        <f aca="false">E89*F89</f>
        <v>866250</v>
      </c>
      <c r="H89" s="24" t="n">
        <v>0.85</v>
      </c>
      <c r="I89" s="24" t="n">
        <v>1.3</v>
      </c>
      <c r="J89" s="12" t="n">
        <f aca="false">G89*H89</f>
        <v>736312.5</v>
      </c>
      <c r="K89" s="12" t="n">
        <f aca="false">G89*I89</f>
        <v>1126125</v>
      </c>
      <c r="L89" s="25"/>
    </row>
    <row r="90" customFormat="false" ht="15" hidden="false" customHeight="false" outlineLevel="0" collapsed="false">
      <c r="A90" s="5" t="s">
        <v>237</v>
      </c>
      <c r="B90" s="20" t="s">
        <v>22</v>
      </c>
      <c r="C90" s="21" t="s">
        <v>238</v>
      </c>
      <c r="D90" s="5" t="s">
        <v>55</v>
      </c>
      <c r="E90" s="22" t="n">
        <v>43.8</v>
      </c>
      <c r="F90" s="23" t="n">
        <v>7500</v>
      </c>
      <c r="G90" s="12" t="n">
        <f aca="false">E90*F90</f>
        <v>328500</v>
      </c>
      <c r="H90" s="24" t="n">
        <v>0.85</v>
      </c>
      <c r="I90" s="24" t="n">
        <v>1.3</v>
      </c>
      <c r="J90" s="12" t="n">
        <f aca="false">G90*H90</f>
        <v>279225</v>
      </c>
      <c r="K90" s="12" t="n">
        <f aca="false">G90*I90</f>
        <v>427050</v>
      </c>
      <c r="L90" s="25" t="s">
        <v>239</v>
      </c>
    </row>
    <row r="91" customFormat="false" ht="15" hidden="false" customHeight="false" outlineLevel="0" collapsed="false">
      <c r="A91" s="5" t="s">
        <v>240</v>
      </c>
      <c r="B91" s="20" t="s">
        <v>22</v>
      </c>
      <c r="C91" s="21" t="s">
        <v>241</v>
      </c>
      <c r="D91" s="5" t="s">
        <v>55</v>
      </c>
      <c r="E91" s="22" t="n">
        <v>74.3</v>
      </c>
      <c r="F91" s="23" t="n">
        <v>4200</v>
      </c>
      <c r="G91" s="12" t="n">
        <f aca="false">E91*F91</f>
        <v>312060</v>
      </c>
      <c r="H91" s="24" t="n">
        <v>0.85</v>
      </c>
      <c r="I91" s="24" t="n">
        <v>1.3</v>
      </c>
      <c r="J91" s="12" t="n">
        <f aca="false">G91*H91</f>
        <v>265251</v>
      </c>
      <c r="K91" s="12" t="n">
        <f aca="false">G91*I91</f>
        <v>405678</v>
      </c>
      <c r="L91" s="25" t="s">
        <v>242</v>
      </c>
    </row>
    <row r="92" customFormat="false" ht="15" hidden="false" customHeight="false" outlineLevel="0" collapsed="false">
      <c r="A92" s="5" t="s">
        <v>243</v>
      </c>
      <c r="B92" s="20" t="s">
        <v>22</v>
      </c>
      <c r="C92" s="21" t="s">
        <v>244</v>
      </c>
      <c r="D92" s="5" t="s">
        <v>55</v>
      </c>
      <c r="E92" s="22" t="n">
        <v>100.8</v>
      </c>
      <c r="F92" s="23" t="n">
        <v>12500</v>
      </c>
      <c r="G92" s="12" t="n">
        <f aca="false">E92*F92</f>
        <v>1260000</v>
      </c>
      <c r="H92" s="24" t="n">
        <v>0.8</v>
      </c>
      <c r="I92" s="24" t="n">
        <v>1.4</v>
      </c>
      <c r="J92" s="12" t="n">
        <f aca="false">G92*H92</f>
        <v>1008000</v>
      </c>
      <c r="K92" s="12" t="n">
        <f aca="false">G92*I92</f>
        <v>1764000</v>
      </c>
      <c r="L92" s="25" t="s">
        <v>245</v>
      </c>
    </row>
    <row r="93" customFormat="false" ht="15" hidden="false" customHeight="false" outlineLevel="0" collapsed="false">
      <c r="A93" s="5" t="s">
        <v>246</v>
      </c>
      <c r="B93" s="20" t="s">
        <v>22</v>
      </c>
      <c r="C93" s="21" t="s">
        <v>247</v>
      </c>
      <c r="D93" s="5" t="s">
        <v>55</v>
      </c>
      <c r="E93" s="22" t="n">
        <v>48.6</v>
      </c>
      <c r="F93" s="23" t="n">
        <v>30000</v>
      </c>
      <c r="G93" s="12" t="n">
        <f aca="false">E93*F93</f>
        <v>1458000</v>
      </c>
      <c r="H93" s="24" t="n">
        <v>0.8</v>
      </c>
      <c r="I93" s="24" t="n">
        <v>1.4</v>
      </c>
      <c r="J93" s="12" t="n">
        <f aca="false">G93*H93</f>
        <v>1166400</v>
      </c>
      <c r="K93" s="12" t="n">
        <f aca="false">G93*I93</f>
        <v>2041200</v>
      </c>
      <c r="L93" s="25"/>
    </row>
    <row r="94" customFormat="false" ht="15" hidden="false" customHeight="false" outlineLevel="0" collapsed="false">
      <c r="A94" s="5" t="s">
        <v>248</v>
      </c>
      <c r="B94" s="20" t="s">
        <v>22</v>
      </c>
      <c r="C94" s="21" t="s">
        <v>249</v>
      </c>
      <c r="D94" s="5" t="s">
        <v>55</v>
      </c>
      <c r="E94" s="22" t="n">
        <v>12.9</v>
      </c>
      <c r="F94" s="23" t="n">
        <v>22000</v>
      </c>
      <c r="G94" s="12" t="n">
        <f aca="false">E94*F94</f>
        <v>283800</v>
      </c>
      <c r="H94" s="24" t="n">
        <v>0.8</v>
      </c>
      <c r="I94" s="24" t="n">
        <v>1.4</v>
      </c>
      <c r="J94" s="12" t="n">
        <f aca="false">G94*H94</f>
        <v>227040</v>
      </c>
      <c r="K94" s="12" t="n">
        <f aca="false">G94*I94</f>
        <v>397320</v>
      </c>
      <c r="L94" s="25"/>
    </row>
    <row r="95" customFormat="false" ht="15" hidden="false" customHeight="false" outlineLevel="0" collapsed="false">
      <c r="A95" s="5" t="s">
        <v>250</v>
      </c>
      <c r="B95" s="20" t="s">
        <v>22</v>
      </c>
      <c r="C95" s="21" t="s">
        <v>251</v>
      </c>
      <c r="D95" s="5" t="s">
        <v>48</v>
      </c>
      <c r="E95" s="22" t="n">
        <v>1</v>
      </c>
      <c r="F95" s="23" t="n">
        <v>780000</v>
      </c>
      <c r="G95" s="12" t="n">
        <f aca="false">E95*F95</f>
        <v>780000</v>
      </c>
      <c r="H95" s="24" t="n">
        <v>0.75</v>
      </c>
      <c r="I95" s="24" t="n">
        <v>1.5</v>
      </c>
      <c r="J95" s="12" t="n">
        <f aca="false">G95*H95</f>
        <v>585000</v>
      </c>
      <c r="K95" s="12" t="n">
        <f aca="false">G95*I95</f>
        <v>1170000</v>
      </c>
      <c r="L95" s="25"/>
    </row>
    <row r="96" customFormat="false" ht="15" hidden="false" customHeight="false" outlineLevel="0" collapsed="false">
      <c r="A96" s="5" t="s">
        <v>252</v>
      </c>
      <c r="B96" s="20" t="s">
        <v>22</v>
      </c>
      <c r="C96" s="21" t="s">
        <v>253</v>
      </c>
      <c r="D96" s="5" t="s">
        <v>48</v>
      </c>
      <c r="E96" s="22" t="n">
        <v>1</v>
      </c>
      <c r="F96" s="23" t="n">
        <v>750000</v>
      </c>
      <c r="G96" s="12" t="n">
        <f aca="false">E96*F96</f>
        <v>750000</v>
      </c>
      <c r="H96" s="24" t="n">
        <v>0.7</v>
      </c>
      <c r="I96" s="24" t="n">
        <v>1.6</v>
      </c>
      <c r="J96" s="12" t="n">
        <f aca="false">G96*H96</f>
        <v>525000</v>
      </c>
      <c r="K96" s="12" t="n">
        <f aca="false">G96*I96</f>
        <v>1200000</v>
      </c>
      <c r="L96" s="25"/>
    </row>
    <row r="97" customFormat="false" ht="15" hidden="false" customHeight="false" outlineLevel="0" collapsed="false">
      <c r="A97" s="5" t="s">
        <v>254</v>
      </c>
      <c r="B97" s="20" t="s">
        <v>22</v>
      </c>
      <c r="C97" s="21" t="s">
        <v>255</v>
      </c>
      <c r="D97" s="5" t="s">
        <v>48</v>
      </c>
      <c r="E97" s="22" t="n">
        <v>1</v>
      </c>
      <c r="F97" s="23" t="n">
        <v>45000</v>
      </c>
      <c r="G97" s="12" t="n">
        <f aca="false">E97*F97</f>
        <v>45000</v>
      </c>
      <c r="H97" s="24" t="n">
        <v>0.8</v>
      </c>
      <c r="I97" s="24" t="n">
        <v>1.5</v>
      </c>
      <c r="J97" s="12" t="n">
        <f aca="false">G97*H97</f>
        <v>36000</v>
      </c>
      <c r="K97" s="12" t="n">
        <f aca="false">G97*I97</f>
        <v>67500</v>
      </c>
      <c r="L97" s="25" t="s">
        <v>256</v>
      </c>
    </row>
    <row r="98" customFormat="false" ht="15" hidden="false" customHeight="false" outlineLevel="0" collapsed="false">
      <c r="A98" s="5" t="s">
        <v>257</v>
      </c>
      <c r="B98" s="20" t="s">
        <v>22</v>
      </c>
      <c r="C98" s="21" t="s">
        <v>258</v>
      </c>
      <c r="D98" s="5" t="s">
        <v>48</v>
      </c>
      <c r="E98" s="22" t="n">
        <v>1</v>
      </c>
      <c r="F98" s="23" t="n">
        <v>520000</v>
      </c>
      <c r="G98" s="12" t="n">
        <f aca="false">E98*F98</f>
        <v>520000</v>
      </c>
      <c r="H98" s="24" t="n">
        <v>0.7</v>
      </c>
      <c r="I98" s="24" t="n">
        <v>1.5</v>
      </c>
      <c r="J98" s="12" t="n">
        <f aca="false">G98*H98</f>
        <v>364000</v>
      </c>
      <c r="K98" s="12" t="n">
        <f aca="false">G98*I98</f>
        <v>780000</v>
      </c>
      <c r="L98" s="25"/>
    </row>
    <row r="99" customFormat="false" ht="15" hidden="false" customHeight="false" outlineLevel="0" collapsed="false">
      <c r="A99" s="5" t="s">
        <v>259</v>
      </c>
      <c r="B99" s="20" t="s">
        <v>22</v>
      </c>
      <c r="C99" s="21" t="s">
        <v>260</v>
      </c>
      <c r="D99" s="5" t="s">
        <v>48</v>
      </c>
      <c r="E99" s="22" t="n">
        <v>1</v>
      </c>
      <c r="F99" s="23" t="n">
        <v>180000</v>
      </c>
      <c r="G99" s="12" t="n">
        <f aca="false">E99*F99</f>
        <v>180000</v>
      </c>
      <c r="H99" s="24" t="n">
        <v>0.7</v>
      </c>
      <c r="I99" s="24" t="n">
        <v>1.6</v>
      </c>
      <c r="J99" s="12" t="n">
        <f aca="false">G99*H99</f>
        <v>126000</v>
      </c>
      <c r="K99" s="12" t="n">
        <f aca="false">G99*I99</f>
        <v>288000</v>
      </c>
      <c r="L99" s="25"/>
    </row>
    <row r="100" customFormat="false" ht="23.85" hidden="false" customHeight="false" outlineLevel="0" collapsed="false">
      <c r="A100" s="5" t="s">
        <v>261</v>
      </c>
      <c r="B100" s="20" t="s">
        <v>22</v>
      </c>
      <c r="C100" s="21" t="s">
        <v>262</v>
      </c>
      <c r="D100" s="5" t="s">
        <v>48</v>
      </c>
      <c r="E100" s="22" t="n">
        <v>1</v>
      </c>
      <c r="F100" s="23" t="n">
        <v>840000</v>
      </c>
      <c r="G100" s="12" t="n">
        <f aca="false">E100*F100</f>
        <v>840000</v>
      </c>
      <c r="H100" s="24" t="n">
        <v>0.7</v>
      </c>
      <c r="I100" s="24" t="n">
        <v>1.5</v>
      </c>
      <c r="J100" s="12" t="n">
        <f aca="false">G100*H100</f>
        <v>588000</v>
      </c>
      <c r="K100" s="12" t="n">
        <f aca="false">G100*I100</f>
        <v>1260000</v>
      </c>
      <c r="L100" s="25"/>
    </row>
    <row r="101" customFormat="false" ht="23.85" hidden="false" customHeight="false" outlineLevel="0" collapsed="false">
      <c r="A101" s="5" t="s">
        <v>263</v>
      </c>
      <c r="B101" s="20" t="s">
        <v>22</v>
      </c>
      <c r="C101" s="21" t="s">
        <v>264</v>
      </c>
      <c r="D101" s="5" t="s">
        <v>48</v>
      </c>
      <c r="E101" s="22" t="n">
        <v>1</v>
      </c>
      <c r="F101" s="23" t="n">
        <v>620000</v>
      </c>
      <c r="G101" s="12" t="n">
        <f aca="false">E101*F101</f>
        <v>620000</v>
      </c>
      <c r="H101" s="24" t="n">
        <v>0.7</v>
      </c>
      <c r="I101" s="24" t="n">
        <v>1.5</v>
      </c>
      <c r="J101" s="12" t="n">
        <f aca="false">G101*H101</f>
        <v>434000</v>
      </c>
      <c r="K101" s="12" t="n">
        <f aca="false">G101*I101</f>
        <v>930000</v>
      </c>
      <c r="L101" s="25"/>
    </row>
    <row r="102" customFormat="false" ht="15" hidden="false" customHeight="false" outlineLevel="0" collapsed="false">
      <c r="A102" s="5" t="s">
        <v>265</v>
      </c>
      <c r="B102" s="20" t="s">
        <v>22</v>
      </c>
      <c r="C102" s="21" t="s">
        <v>266</v>
      </c>
      <c r="D102" s="5" t="s">
        <v>48</v>
      </c>
      <c r="E102" s="22" t="n">
        <v>1</v>
      </c>
      <c r="F102" s="23" t="n">
        <v>140000</v>
      </c>
      <c r="G102" s="12" t="n">
        <f aca="false">E102*F102</f>
        <v>140000</v>
      </c>
      <c r="H102" s="24" t="n">
        <v>0.7</v>
      </c>
      <c r="I102" s="24" t="n">
        <v>1.5</v>
      </c>
      <c r="J102" s="12" t="n">
        <f aca="false">G102*H102</f>
        <v>98000</v>
      </c>
      <c r="K102" s="12" t="n">
        <f aca="false">G102*I102</f>
        <v>210000</v>
      </c>
      <c r="L102" s="25"/>
    </row>
    <row r="103" customFormat="false" ht="15" hidden="false" customHeight="false" outlineLevel="0" collapsed="false">
      <c r="A103" s="5" t="s">
        <v>267</v>
      </c>
      <c r="B103" s="20" t="s">
        <v>22</v>
      </c>
      <c r="C103" s="21" t="s">
        <v>268</v>
      </c>
      <c r="D103" s="5" t="s">
        <v>48</v>
      </c>
      <c r="E103" s="22" t="n">
        <v>1</v>
      </c>
      <c r="F103" s="23" t="n">
        <v>35000</v>
      </c>
      <c r="G103" s="12" t="n">
        <f aca="false">E103*F103</f>
        <v>35000</v>
      </c>
      <c r="H103" s="24" t="n">
        <v>0.8</v>
      </c>
      <c r="I103" s="24" t="n">
        <v>1.5</v>
      </c>
      <c r="J103" s="12" t="n">
        <f aca="false">G103*H103</f>
        <v>28000</v>
      </c>
      <c r="K103" s="12" t="n">
        <f aca="false">G103*I103</f>
        <v>52500</v>
      </c>
      <c r="L103" s="25"/>
    </row>
    <row r="104" customFormat="false" ht="23.85" hidden="false" customHeight="false" outlineLevel="0" collapsed="false">
      <c r="A104" s="5" t="s">
        <v>269</v>
      </c>
      <c r="B104" s="20" t="s">
        <v>22</v>
      </c>
      <c r="C104" s="21" t="s">
        <v>270</v>
      </c>
      <c r="D104" s="5" t="s">
        <v>48</v>
      </c>
      <c r="E104" s="22" t="n">
        <v>1</v>
      </c>
      <c r="F104" s="23" t="n">
        <v>220000</v>
      </c>
      <c r="G104" s="12" t="n">
        <f aca="false">E104*F104</f>
        <v>220000</v>
      </c>
      <c r="H104" s="24" t="n">
        <v>0.8</v>
      </c>
      <c r="I104" s="24" t="n">
        <v>1.4</v>
      </c>
      <c r="J104" s="12" t="n">
        <f aca="false">G104*H104</f>
        <v>176000</v>
      </c>
      <c r="K104" s="12" t="n">
        <f aca="false">G104*I104</f>
        <v>308000</v>
      </c>
      <c r="L104" s="25"/>
    </row>
    <row r="105" customFormat="false" ht="15" hidden="false" customHeight="false" outlineLevel="0" collapsed="false">
      <c r="A105" s="5" t="s">
        <v>271</v>
      </c>
      <c r="B105" s="20" t="s">
        <v>22</v>
      </c>
      <c r="C105" s="21" t="s">
        <v>272</v>
      </c>
      <c r="D105" s="5" t="s">
        <v>48</v>
      </c>
      <c r="E105" s="22" t="n">
        <v>1</v>
      </c>
      <c r="F105" s="23" t="n">
        <v>60000</v>
      </c>
      <c r="G105" s="12" t="n">
        <f aca="false">E105*F105</f>
        <v>60000</v>
      </c>
      <c r="H105" s="24" t="n">
        <v>0.8</v>
      </c>
      <c r="I105" s="24" t="n">
        <v>1.4</v>
      </c>
      <c r="J105" s="12" t="n">
        <f aca="false">G105*H105</f>
        <v>48000</v>
      </c>
      <c r="K105" s="12" t="n">
        <f aca="false">G105*I105</f>
        <v>84000</v>
      </c>
      <c r="L105" s="25" t="s">
        <v>273</v>
      </c>
    </row>
    <row r="106" customFormat="false" ht="15" hidden="false" customHeight="false" outlineLevel="0" collapsed="false">
      <c r="A106" s="5" t="s">
        <v>274</v>
      </c>
      <c r="B106" s="20" t="s">
        <v>22</v>
      </c>
      <c r="C106" s="21" t="s">
        <v>275</v>
      </c>
      <c r="D106" s="5" t="s">
        <v>48</v>
      </c>
      <c r="E106" s="22" t="n">
        <v>1</v>
      </c>
      <c r="F106" s="23" t="n">
        <v>180000</v>
      </c>
      <c r="G106" s="12" t="n">
        <f aca="false">E106*F106</f>
        <v>180000</v>
      </c>
      <c r="H106" s="24" t="n">
        <v>0.8</v>
      </c>
      <c r="I106" s="24" t="n">
        <v>1.4</v>
      </c>
      <c r="J106" s="12" t="n">
        <f aca="false">G106*H106</f>
        <v>144000</v>
      </c>
      <c r="K106" s="12" t="n">
        <f aca="false">G106*I106</f>
        <v>252000</v>
      </c>
      <c r="L106" s="25" t="s">
        <v>276</v>
      </c>
    </row>
    <row r="107" customFormat="false" ht="15" hidden="false" customHeight="false" outlineLevel="0" collapsed="false">
      <c r="A107" s="5" t="s">
        <v>277</v>
      </c>
      <c r="B107" s="20" t="s">
        <v>22</v>
      </c>
      <c r="C107" s="21" t="s">
        <v>278</v>
      </c>
      <c r="D107" s="5" t="s">
        <v>229</v>
      </c>
      <c r="E107" s="22" t="n">
        <v>80</v>
      </c>
      <c r="F107" s="23" t="n">
        <v>9500</v>
      </c>
      <c r="G107" s="12" t="n">
        <f aca="false">E107*F107</f>
        <v>760000</v>
      </c>
      <c r="H107" s="24" t="n">
        <v>0.8</v>
      </c>
      <c r="I107" s="24" t="n">
        <v>1.4</v>
      </c>
      <c r="J107" s="12" t="n">
        <f aca="false">G107*H107</f>
        <v>608000</v>
      </c>
      <c r="K107" s="12" t="n">
        <f aca="false">G107*I107</f>
        <v>1064000</v>
      </c>
      <c r="L107" s="25" t="s">
        <v>279</v>
      </c>
    </row>
    <row r="108" customFormat="false" ht="15" hidden="false" customHeight="false" outlineLevel="0" collapsed="false">
      <c r="A108" s="5" t="s">
        <v>280</v>
      </c>
      <c r="B108" s="20" t="s">
        <v>22</v>
      </c>
      <c r="C108" s="21" t="s">
        <v>281</v>
      </c>
      <c r="D108" s="5" t="s">
        <v>229</v>
      </c>
      <c r="E108" s="22" t="n">
        <v>26.5</v>
      </c>
      <c r="F108" s="23" t="n">
        <v>9000</v>
      </c>
      <c r="G108" s="12" t="n">
        <f aca="false">E108*F108</f>
        <v>238500</v>
      </c>
      <c r="H108" s="24" t="n">
        <v>0.8</v>
      </c>
      <c r="I108" s="24" t="n">
        <v>1.4</v>
      </c>
      <c r="J108" s="12" t="n">
        <f aca="false">G108*H108</f>
        <v>190800</v>
      </c>
      <c r="K108" s="12" t="n">
        <f aca="false">G108*I108</f>
        <v>333900</v>
      </c>
      <c r="L108" s="25" t="s">
        <v>282</v>
      </c>
    </row>
    <row r="109" customFormat="false" ht="15" hidden="false" customHeight="false" outlineLevel="0" collapsed="false">
      <c r="A109" s="5" t="s">
        <v>283</v>
      </c>
      <c r="B109" s="20" t="s">
        <v>22</v>
      </c>
      <c r="C109" s="21" t="s">
        <v>284</v>
      </c>
      <c r="D109" s="5" t="s">
        <v>48</v>
      </c>
      <c r="E109" s="22" t="n">
        <v>1</v>
      </c>
      <c r="F109" s="23" t="n">
        <v>520000</v>
      </c>
      <c r="G109" s="12" t="n">
        <f aca="false">E109*F109</f>
        <v>520000</v>
      </c>
      <c r="H109" s="24" t="n">
        <v>0.8</v>
      </c>
      <c r="I109" s="24" t="n">
        <v>1.4</v>
      </c>
      <c r="J109" s="12" t="n">
        <f aca="false">G109*H109</f>
        <v>416000</v>
      </c>
      <c r="K109" s="12" t="n">
        <f aca="false">G109*I109</f>
        <v>728000</v>
      </c>
      <c r="L109" s="25"/>
    </row>
    <row r="110" customFormat="false" ht="15" hidden="false" customHeight="false" outlineLevel="0" collapsed="false">
      <c r="A110" s="5" t="s">
        <v>285</v>
      </c>
      <c r="B110" s="20" t="s">
        <v>22</v>
      </c>
      <c r="C110" s="21" t="s">
        <v>286</v>
      </c>
      <c r="D110" s="5" t="s">
        <v>48</v>
      </c>
      <c r="E110" s="22" t="n">
        <v>1</v>
      </c>
      <c r="F110" s="23" t="n">
        <v>290000</v>
      </c>
      <c r="G110" s="12" t="n">
        <f aca="false">E110*F110</f>
        <v>290000</v>
      </c>
      <c r="H110" s="24" t="n">
        <v>0.8</v>
      </c>
      <c r="I110" s="24" t="n">
        <v>1.4</v>
      </c>
      <c r="J110" s="12" t="n">
        <f aca="false">G110*H110</f>
        <v>232000</v>
      </c>
      <c r="K110" s="12" t="n">
        <f aca="false">G110*I110</f>
        <v>406000</v>
      </c>
      <c r="L110" s="25"/>
    </row>
    <row r="111" customFormat="false" ht="15" hidden="false" customHeight="false" outlineLevel="0" collapsed="false">
      <c r="A111" s="5" t="s">
        <v>287</v>
      </c>
      <c r="B111" s="20" t="s">
        <v>22</v>
      </c>
      <c r="C111" s="21" t="s">
        <v>288</v>
      </c>
      <c r="D111" s="5" t="s">
        <v>55</v>
      </c>
      <c r="E111" s="22" t="n">
        <v>40.7</v>
      </c>
      <c r="F111" s="23" t="n">
        <v>6000</v>
      </c>
      <c r="G111" s="12" t="n">
        <f aca="false">E111*F111</f>
        <v>244200</v>
      </c>
      <c r="H111" s="24" t="n">
        <v>0.8</v>
      </c>
      <c r="I111" s="24" t="n">
        <v>1.4</v>
      </c>
      <c r="J111" s="12" t="n">
        <f aca="false">G111*H111</f>
        <v>195360</v>
      </c>
      <c r="K111" s="12" t="n">
        <f aca="false">G111*I111</f>
        <v>341880</v>
      </c>
      <c r="L111" s="25"/>
    </row>
    <row r="112" customFormat="false" ht="15" hidden="false" customHeight="false" outlineLevel="0" collapsed="false">
      <c r="A112" s="5" t="s">
        <v>289</v>
      </c>
      <c r="B112" s="20" t="s">
        <v>22</v>
      </c>
      <c r="C112" s="21" t="s">
        <v>290</v>
      </c>
      <c r="D112" s="5" t="s">
        <v>55</v>
      </c>
      <c r="E112" s="22" t="n">
        <v>300</v>
      </c>
      <c r="F112" s="23" t="n">
        <v>650</v>
      </c>
      <c r="G112" s="12" t="n">
        <f aca="false">E112*F112</f>
        <v>195000</v>
      </c>
      <c r="H112" s="24" t="n">
        <v>0.85</v>
      </c>
      <c r="I112" s="24" t="n">
        <v>1.3</v>
      </c>
      <c r="J112" s="12" t="n">
        <f aca="false">G112*H112</f>
        <v>165750</v>
      </c>
      <c r="K112" s="12" t="n">
        <f aca="false">G112*I112</f>
        <v>253500</v>
      </c>
      <c r="L112" s="25"/>
    </row>
    <row r="113" customFormat="false" ht="15" hidden="false" customHeight="false" outlineLevel="0" collapsed="false">
      <c r="A113" s="5" t="s">
        <v>291</v>
      </c>
      <c r="B113" s="20" t="s">
        <v>22</v>
      </c>
      <c r="C113" s="21" t="s">
        <v>292</v>
      </c>
      <c r="D113" s="5" t="s">
        <v>48</v>
      </c>
      <c r="E113" s="22" t="n">
        <v>1</v>
      </c>
      <c r="F113" s="23" t="n">
        <v>320000</v>
      </c>
      <c r="G113" s="12" t="n">
        <f aca="false">E113*F113</f>
        <v>320000</v>
      </c>
      <c r="H113" s="24" t="n">
        <v>0.8</v>
      </c>
      <c r="I113" s="24" t="n">
        <v>1.4</v>
      </c>
      <c r="J113" s="12" t="n">
        <f aca="false">G113*H113</f>
        <v>256000</v>
      </c>
      <c r="K113" s="12" t="n">
        <f aca="false">G113*I113</f>
        <v>448000</v>
      </c>
      <c r="L113" s="25"/>
    </row>
    <row r="114" customFormat="false" ht="23.85" hidden="false" customHeight="false" outlineLevel="0" collapsed="false">
      <c r="A114" s="5" t="s">
        <v>293</v>
      </c>
      <c r="B114" s="20" t="s">
        <v>22</v>
      </c>
      <c r="C114" s="21" t="s">
        <v>294</v>
      </c>
      <c r="D114" s="5" t="s">
        <v>48</v>
      </c>
      <c r="E114" s="22" t="n">
        <v>1</v>
      </c>
      <c r="F114" s="23" t="n">
        <v>450000</v>
      </c>
      <c r="G114" s="12" t="n">
        <f aca="false">E114*F114</f>
        <v>450000</v>
      </c>
      <c r="H114" s="24" t="n">
        <v>0.7</v>
      </c>
      <c r="I114" s="24" t="n">
        <v>1.6</v>
      </c>
      <c r="J114" s="12" t="n">
        <f aca="false">G114*H114</f>
        <v>315000</v>
      </c>
      <c r="K114" s="12" t="n">
        <f aca="false">G114*I114</f>
        <v>720000</v>
      </c>
      <c r="L114" s="25"/>
    </row>
    <row r="115" customFormat="false" ht="15" hidden="false" customHeight="false" outlineLevel="0" collapsed="false">
      <c r="A115" s="5" t="s">
        <v>295</v>
      </c>
      <c r="B115" s="20" t="s">
        <v>22</v>
      </c>
      <c r="C115" s="21" t="s">
        <v>296</v>
      </c>
      <c r="D115" s="5" t="s">
        <v>48</v>
      </c>
      <c r="E115" s="22" t="n">
        <v>1</v>
      </c>
      <c r="F115" s="23" t="n">
        <v>850000</v>
      </c>
      <c r="G115" s="12" t="n">
        <f aca="false">E115*F115</f>
        <v>850000</v>
      </c>
      <c r="H115" s="24" t="n">
        <v>0.75</v>
      </c>
      <c r="I115" s="24" t="n">
        <v>1.5</v>
      </c>
      <c r="J115" s="12" t="n">
        <f aca="false">G115*H115</f>
        <v>637500</v>
      </c>
      <c r="K115" s="12" t="n">
        <f aca="false">G115*I115</f>
        <v>1275000</v>
      </c>
      <c r="L115" s="25"/>
    </row>
    <row r="116" customFormat="false" ht="15" hidden="false" customHeight="false" outlineLevel="0" collapsed="false">
      <c r="A116" s="18" t="s">
        <v>23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customFormat="false" ht="15" hidden="false" customHeight="false" outlineLevel="0" collapsed="false">
      <c r="A117" s="5" t="s">
        <v>297</v>
      </c>
      <c r="B117" s="20" t="s">
        <v>23</v>
      </c>
      <c r="C117" s="21" t="s">
        <v>298</v>
      </c>
      <c r="D117" s="5" t="s">
        <v>48</v>
      </c>
      <c r="E117" s="22" t="n">
        <v>1</v>
      </c>
      <c r="F117" s="23" t="n">
        <v>280000</v>
      </c>
      <c r="G117" s="12" t="n">
        <f aca="false">E117*F117</f>
        <v>280000</v>
      </c>
      <c r="H117" s="24" t="n">
        <v>0.8</v>
      </c>
      <c r="I117" s="24" t="n">
        <v>1.4</v>
      </c>
      <c r="J117" s="12" t="n">
        <f aca="false">G117*H117</f>
        <v>224000</v>
      </c>
      <c r="K117" s="12" t="n">
        <f aca="false">G117*I117</f>
        <v>392000</v>
      </c>
      <c r="L117" s="25"/>
    </row>
    <row r="118" customFormat="false" ht="15" hidden="false" customHeight="false" outlineLevel="0" collapsed="false">
      <c r="A118" s="5" t="s">
        <v>299</v>
      </c>
      <c r="B118" s="20" t="s">
        <v>23</v>
      </c>
      <c r="C118" s="21" t="s">
        <v>300</v>
      </c>
      <c r="D118" s="5" t="s">
        <v>48</v>
      </c>
      <c r="E118" s="22" t="n">
        <v>1</v>
      </c>
      <c r="F118" s="23" t="n">
        <v>300000</v>
      </c>
      <c r="G118" s="12" t="n">
        <f aca="false">E118*F118</f>
        <v>300000</v>
      </c>
      <c r="H118" s="24" t="n">
        <v>0.8</v>
      </c>
      <c r="I118" s="24" t="n">
        <v>1.5</v>
      </c>
      <c r="J118" s="12" t="n">
        <f aca="false">G118*H118</f>
        <v>240000</v>
      </c>
      <c r="K118" s="12" t="n">
        <f aca="false">G118*I118</f>
        <v>450000</v>
      </c>
      <c r="L118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4" t="s">
        <v>301</v>
      </c>
      <c r="B1" s="4" t="s">
        <v>302</v>
      </c>
      <c r="C1" s="4" t="s">
        <v>303</v>
      </c>
    </row>
    <row r="2" customFormat="false" ht="15" hidden="false" customHeight="false" outlineLevel="0" collapsed="false">
      <c r="A2" s="5" t="s">
        <v>304</v>
      </c>
      <c r="B2" s="23" t="n">
        <v>2100000</v>
      </c>
      <c r="C2" s="26" t="s">
        <v>305</v>
      </c>
    </row>
    <row r="3" customFormat="false" ht="15" hidden="false" customHeight="false" outlineLevel="0" collapsed="false">
      <c r="A3" s="5" t="s">
        <v>306</v>
      </c>
      <c r="B3" s="23" t="n">
        <v>350000</v>
      </c>
      <c r="C3" s="26" t="s">
        <v>307</v>
      </c>
    </row>
    <row r="4" customFormat="false" ht="15" hidden="false" customHeight="false" outlineLevel="0" collapsed="false">
      <c r="A4" s="5" t="s">
        <v>308</v>
      </c>
      <c r="B4" s="23" t="n">
        <v>420000</v>
      </c>
      <c r="C4" s="26" t="s">
        <v>309</v>
      </c>
    </row>
    <row r="5" customFormat="false" ht="15" hidden="false" customHeight="false" outlineLevel="0" collapsed="false">
      <c r="A5" s="5" t="s">
        <v>310</v>
      </c>
      <c r="B5" s="23" t="n">
        <v>650000</v>
      </c>
      <c r="C5" s="26" t="s">
        <v>311</v>
      </c>
    </row>
    <row r="6" customFormat="false" ht="15" hidden="false" customHeight="false" outlineLevel="0" collapsed="false">
      <c r="A6" s="5" t="s">
        <v>312</v>
      </c>
      <c r="B6" s="23" t="n">
        <v>520000</v>
      </c>
      <c r="C6" s="26"/>
    </row>
    <row r="7" customFormat="false" ht="15" hidden="false" customHeight="false" outlineLevel="0" collapsed="false">
      <c r="A7" s="5" t="s">
        <v>313</v>
      </c>
      <c r="B7" s="23" t="n">
        <v>1100000</v>
      </c>
      <c r="C7" s="26"/>
    </row>
    <row r="8" customFormat="false" ht="15" hidden="false" customHeight="false" outlineLevel="0" collapsed="false">
      <c r="A8" s="5" t="s">
        <v>314</v>
      </c>
      <c r="B8" s="23" t="n">
        <v>650000</v>
      </c>
      <c r="C8" s="26" t="s">
        <v>315</v>
      </c>
    </row>
    <row r="9" customFormat="false" ht="15" hidden="false" customHeight="false" outlineLevel="0" collapsed="false">
      <c r="A9" s="5" t="s">
        <v>316</v>
      </c>
      <c r="B9" s="23" t="n">
        <v>180000</v>
      </c>
      <c r="C9" s="26" t="s">
        <v>317</v>
      </c>
    </row>
    <row r="10" customFormat="false" ht="15" hidden="false" customHeight="false" outlineLevel="0" collapsed="false">
      <c r="A10" s="5" t="s">
        <v>318</v>
      </c>
      <c r="B10" s="23" t="n">
        <v>480000</v>
      </c>
      <c r="C10" s="26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4" t="s">
        <v>35</v>
      </c>
      <c r="B1" s="4" t="s">
        <v>320</v>
      </c>
      <c r="C1" s="4" t="s">
        <v>321</v>
      </c>
    </row>
    <row r="2" customFormat="false" ht="15" hidden="false" customHeight="false" outlineLevel="0" collapsed="false">
      <c r="A2" s="2"/>
      <c r="B2" s="10" t="s">
        <v>322</v>
      </c>
      <c r="C2" s="27"/>
    </row>
    <row r="3" customFormat="false" ht="15" hidden="false" customHeight="false" outlineLevel="0" collapsed="false">
      <c r="A3" s="2" t="s">
        <v>323</v>
      </c>
      <c r="B3" s="2" t="s">
        <v>324</v>
      </c>
      <c r="C3" s="22" t="n">
        <v>10.7</v>
      </c>
    </row>
    <row r="4" customFormat="false" ht="15" hidden="false" customHeight="false" outlineLevel="0" collapsed="false">
      <c r="A4" s="2" t="s">
        <v>325</v>
      </c>
      <c r="B4" s="2" t="s">
        <v>326</v>
      </c>
      <c r="C4" s="22" t="n">
        <v>10.5</v>
      </c>
    </row>
    <row r="5" customFormat="false" ht="15" hidden="false" customHeight="false" outlineLevel="0" collapsed="false">
      <c r="A5" s="2" t="s">
        <v>327</v>
      </c>
      <c r="B5" s="2" t="s">
        <v>328</v>
      </c>
      <c r="C5" s="22" t="n">
        <v>7.8</v>
      </c>
    </row>
    <row r="6" customFormat="false" ht="15" hidden="false" customHeight="false" outlineLevel="0" collapsed="false">
      <c r="A6" s="2" t="s">
        <v>329</v>
      </c>
      <c r="B6" s="2" t="s">
        <v>330</v>
      </c>
      <c r="C6" s="22" t="n">
        <v>9</v>
      </c>
    </row>
    <row r="7" customFormat="false" ht="15" hidden="false" customHeight="false" outlineLevel="0" collapsed="false">
      <c r="A7" s="2" t="s">
        <v>331</v>
      </c>
      <c r="B7" s="2" t="s">
        <v>332</v>
      </c>
      <c r="C7" s="22" t="n">
        <v>12.2</v>
      </c>
    </row>
    <row r="8" customFormat="false" ht="15" hidden="false" customHeight="false" outlineLevel="0" collapsed="false">
      <c r="A8" s="2" t="s">
        <v>333</v>
      </c>
      <c r="B8" s="2" t="s">
        <v>334</v>
      </c>
      <c r="C8" s="22" t="n">
        <v>12.1</v>
      </c>
    </row>
    <row r="9" customFormat="false" ht="15" hidden="false" customHeight="false" outlineLevel="0" collapsed="false">
      <c r="A9" s="2"/>
      <c r="B9" s="10" t="s">
        <v>335</v>
      </c>
      <c r="C9" s="27" t="n">
        <f aca="false">SUM(C3:C8)</f>
        <v>62.3</v>
      </c>
    </row>
    <row r="10" customFormat="false" ht="15" hidden="false" customHeight="false" outlineLevel="0" collapsed="false">
      <c r="A10" s="2"/>
      <c r="B10" s="10" t="s">
        <v>336</v>
      </c>
      <c r="C10" s="27"/>
    </row>
    <row r="11" customFormat="false" ht="15" hidden="false" customHeight="false" outlineLevel="0" collapsed="false">
      <c r="A11" s="2" t="s">
        <v>337</v>
      </c>
      <c r="B11" s="2" t="s">
        <v>338</v>
      </c>
      <c r="C11" s="22" t="n">
        <v>51</v>
      </c>
    </row>
    <row r="12" customFormat="false" ht="15" hidden="false" customHeight="false" outlineLevel="0" collapsed="false">
      <c r="A12" s="2" t="s">
        <v>339</v>
      </c>
      <c r="B12" s="2" t="s">
        <v>340</v>
      </c>
      <c r="C12" s="22" t="n">
        <v>6.6</v>
      </c>
    </row>
    <row r="13" customFormat="false" ht="15" hidden="false" customHeight="false" outlineLevel="0" collapsed="false">
      <c r="A13" s="2" t="s">
        <v>341</v>
      </c>
      <c r="B13" s="2" t="s">
        <v>342</v>
      </c>
      <c r="C13" s="22" t="n">
        <v>5.1</v>
      </c>
    </row>
    <row r="14" customFormat="false" ht="15" hidden="false" customHeight="false" outlineLevel="0" collapsed="false">
      <c r="A14" s="2" t="s">
        <v>343</v>
      </c>
      <c r="B14" s="2" t="s">
        <v>344</v>
      </c>
      <c r="C14" s="22" t="n">
        <v>6.8</v>
      </c>
    </row>
    <row r="15" customFormat="false" ht="15" hidden="false" customHeight="false" outlineLevel="0" collapsed="false">
      <c r="A15" s="2" t="s">
        <v>345</v>
      </c>
      <c r="B15" s="2" t="s">
        <v>346</v>
      </c>
      <c r="C15" s="22" t="n">
        <v>62.6</v>
      </c>
    </row>
    <row r="16" customFormat="false" ht="15" hidden="false" customHeight="false" outlineLevel="0" collapsed="false">
      <c r="A16" s="2" t="s">
        <v>347</v>
      </c>
      <c r="B16" s="2" t="s">
        <v>348</v>
      </c>
      <c r="C16" s="22" t="n">
        <v>10.5</v>
      </c>
    </row>
    <row r="17" customFormat="false" ht="15" hidden="false" customHeight="false" outlineLevel="0" collapsed="false">
      <c r="A17" s="2" t="s">
        <v>349</v>
      </c>
      <c r="B17" s="2" t="s">
        <v>350</v>
      </c>
      <c r="C17" s="22" t="n">
        <v>8.6</v>
      </c>
    </row>
    <row r="18" customFormat="false" ht="15" hidden="false" customHeight="false" outlineLevel="0" collapsed="false">
      <c r="A18" s="2" t="s">
        <v>351</v>
      </c>
      <c r="B18" s="2" t="s">
        <v>352</v>
      </c>
      <c r="C18" s="22" t="n">
        <v>7.1</v>
      </c>
    </row>
    <row r="19" customFormat="false" ht="15" hidden="false" customHeight="false" outlineLevel="0" collapsed="false">
      <c r="A19" s="2" t="s">
        <v>353</v>
      </c>
      <c r="B19" s="2" t="s">
        <v>354</v>
      </c>
      <c r="C19" s="22" t="n">
        <v>15</v>
      </c>
    </row>
    <row r="20" customFormat="false" ht="15" hidden="false" customHeight="false" outlineLevel="0" collapsed="false">
      <c r="A20" s="2" t="s">
        <v>355</v>
      </c>
      <c r="B20" s="2" t="s">
        <v>356</v>
      </c>
      <c r="C20" s="22" t="n">
        <v>4.3</v>
      </c>
    </row>
    <row r="21" customFormat="false" ht="15" hidden="false" customHeight="false" outlineLevel="0" collapsed="false">
      <c r="A21" s="2" t="s">
        <v>357</v>
      </c>
      <c r="B21" s="2" t="s">
        <v>358</v>
      </c>
      <c r="C21" s="22" t="n">
        <v>11</v>
      </c>
    </row>
    <row r="22" customFormat="false" ht="15" hidden="false" customHeight="false" outlineLevel="0" collapsed="false">
      <c r="A22" s="2" t="s">
        <v>359</v>
      </c>
      <c r="B22" s="2" t="s">
        <v>360</v>
      </c>
      <c r="C22" s="22" t="n">
        <v>73</v>
      </c>
    </row>
    <row r="23" customFormat="false" ht="15" hidden="false" customHeight="false" outlineLevel="0" collapsed="false">
      <c r="A23" s="2" t="s">
        <v>361</v>
      </c>
      <c r="B23" s="2" t="s">
        <v>362</v>
      </c>
      <c r="C23" s="22" t="n">
        <v>9.4</v>
      </c>
    </row>
    <row r="24" customFormat="false" ht="15" hidden="false" customHeight="false" outlineLevel="0" collapsed="false">
      <c r="A24" s="2" t="s">
        <v>363</v>
      </c>
      <c r="B24" s="2" t="s">
        <v>364</v>
      </c>
      <c r="C24" s="22" t="n">
        <v>19.7</v>
      </c>
    </row>
    <row r="25" customFormat="false" ht="15" hidden="false" customHeight="false" outlineLevel="0" collapsed="false">
      <c r="A25" s="2"/>
      <c r="B25" s="10" t="s">
        <v>365</v>
      </c>
      <c r="C25" s="27" t="n">
        <f aca="false">SUM(C11:C24)</f>
        <v>290.7</v>
      </c>
    </row>
    <row r="26" customFormat="false" ht="15" hidden="false" customHeight="false" outlineLevel="0" collapsed="false">
      <c r="A26" s="2"/>
      <c r="B26" s="10" t="s">
        <v>366</v>
      </c>
      <c r="C26" s="27"/>
    </row>
    <row r="27" customFormat="false" ht="15" hidden="false" customHeight="false" outlineLevel="0" collapsed="false">
      <c r="A27" s="2" t="s">
        <v>367</v>
      </c>
      <c r="B27" s="2" t="s">
        <v>368</v>
      </c>
      <c r="C27" s="22" t="n">
        <v>16.4</v>
      </c>
    </row>
    <row r="28" customFormat="false" ht="15" hidden="false" customHeight="false" outlineLevel="0" collapsed="false">
      <c r="A28" s="2" t="s">
        <v>369</v>
      </c>
      <c r="B28" s="2" t="s">
        <v>370</v>
      </c>
      <c r="C28" s="22" t="n">
        <v>7.9</v>
      </c>
    </row>
    <row r="29" customFormat="false" ht="15" hidden="false" customHeight="false" outlineLevel="0" collapsed="false">
      <c r="A29" s="2" t="s">
        <v>371</v>
      </c>
      <c r="B29" s="2" t="s">
        <v>372</v>
      </c>
      <c r="C29" s="22" t="n">
        <v>3.2</v>
      </c>
    </row>
    <row r="30" customFormat="false" ht="15" hidden="false" customHeight="false" outlineLevel="0" collapsed="false">
      <c r="A30" s="2" t="s">
        <v>373</v>
      </c>
      <c r="B30" s="2" t="s">
        <v>326</v>
      </c>
      <c r="C30" s="22" t="n">
        <v>10.5</v>
      </c>
    </row>
    <row r="31" customFormat="false" ht="15" hidden="false" customHeight="false" outlineLevel="0" collapsed="false">
      <c r="A31" s="2" t="s">
        <v>374</v>
      </c>
      <c r="B31" s="2" t="s">
        <v>375</v>
      </c>
      <c r="C31" s="22" t="n">
        <v>13</v>
      </c>
    </row>
    <row r="32" customFormat="false" ht="15" hidden="false" customHeight="false" outlineLevel="0" collapsed="false">
      <c r="A32" s="2" t="s">
        <v>376</v>
      </c>
      <c r="B32" s="2" t="s">
        <v>377</v>
      </c>
      <c r="C32" s="22" t="n">
        <v>12</v>
      </c>
    </row>
    <row r="33" customFormat="false" ht="15" hidden="false" customHeight="false" outlineLevel="0" collapsed="false">
      <c r="A33" s="2" t="s">
        <v>378</v>
      </c>
      <c r="B33" s="2" t="s">
        <v>379</v>
      </c>
      <c r="C33" s="22" t="n">
        <v>9.1</v>
      </c>
    </row>
    <row r="34" customFormat="false" ht="15" hidden="false" customHeight="false" outlineLevel="0" collapsed="false">
      <c r="A34" s="2" t="s">
        <v>380</v>
      </c>
      <c r="B34" s="2" t="s">
        <v>381</v>
      </c>
      <c r="C34" s="22" t="n">
        <v>9.1</v>
      </c>
    </row>
    <row r="35" customFormat="false" ht="15" hidden="false" customHeight="false" outlineLevel="0" collapsed="false">
      <c r="A35" s="2" t="s">
        <v>382</v>
      </c>
      <c r="B35" s="2" t="s">
        <v>383</v>
      </c>
      <c r="C35" s="22" t="n">
        <v>17.5</v>
      </c>
    </row>
    <row r="36" customFormat="false" ht="15" hidden="false" customHeight="false" outlineLevel="0" collapsed="false">
      <c r="A36" s="2" t="s">
        <v>384</v>
      </c>
      <c r="B36" s="2" t="s">
        <v>385</v>
      </c>
      <c r="C36" s="22" t="n">
        <v>4.9</v>
      </c>
    </row>
    <row r="37" customFormat="false" ht="15" hidden="false" customHeight="false" outlineLevel="0" collapsed="false">
      <c r="A37" s="2" t="s">
        <v>386</v>
      </c>
      <c r="B37" s="2" t="s">
        <v>387</v>
      </c>
      <c r="C37" s="22" t="n">
        <v>12.8</v>
      </c>
    </row>
    <row r="38" customFormat="false" ht="15" hidden="false" customHeight="false" outlineLevel="0" collapsed="false">
      <c r="A38" s="2" t="s">
        <v>388</v>
      </c>
      <c r="B38" s="2" t="s">
        <v>389</v>
      </c>
      <c r="C38" s="22" t="n">
        <v>21.6</v>
      </c>
    </row>
    <row r="39" customFormat="false" ht="15" hidden="false" customHeight="false" outlineLevel="0" collapsed="false">
      <c r="A39" s="2"/>
      <c r="B39" s="10" t="s">
        <v>390</v>
      </c>
      <c r="C39" s="27" t="n">
        <f aca="false">SUM(C27:C38)</f>
        <v>138</v>
      </c>
    </row>
    <row r="40" customFormat="false" ht="15" hidden="false" customHeight="false" outlineLevel="0" collapsed="false">
      <c r="A40" s="2"/>
      <c r="B40" s="2"/>
      <c r="C40" s="27"/>
    </row>
    <row r="41" customFormat="false" ht="15" hidden="false" customHeight="false" outlineLevel="0" collapsed="false">
      <c r="A41" s="2"/>
      <c r="B41" s="10" t="s">
        <v>391</v>
      </c>
      <c r="C41" s="27"/>
    </row>
    <row r="42" customFormat="false" ht="15" hidden="false" customHeight="false" outlineLevel="0" collapsed="false">
      <c r="A42" s="2"/>
      <c r="B42" s="2" t="s">
        <v>322</v>
      </c>
      <c r="C42" s="22" t="n">
        <v>80</v>
      </c>
    </row>
    <row r="43" customFormat="false" ht="15" hidden="false" customHeight="false" outlineLevel="0" collapsed="false">
      <c r="A43" s="2"/>
      <c r="B43" s="2" t="s">
        <v>392</v>
      </c>
      <c r="C43" s="22" t="n">
        <v>84</v>
      </c>
    </row>
    <row r="44" customFormat="false" ht="15" hidden="false" customHeight="false" outlineLevel="0" collapsed="false">
      <c r="A44" s="2"/>
      <c r="B44" s="2" t="s">
        <v>393</v>
      </c>
      <c r="C44" s="22" t="n">
        <v>140</v>
      </c>
    </row>
    <row r="45" customFormat="false" ht="15" hidden="false" customHeight="false" outlineLevel="0" collapsed="false">
      <c r="A45" s="2"/>
      <c r="B45" s="2" t="s">
        <v>394</v>
      </c>
      <c r="C45" s="22" t="n">
        <v>87.36</v>
      </c>
    </row>
    <row r="46" customFormat="false" ht="15" hidden="false" customHeight="false" outlineLevel="0" collapsed="false">
      <c r="A46" s="2"/>
      <c r="B46" s="2" t="s">
        <v>395</v>
      </c>
      <c r="C46" s="22" t="n">
        <v>35.28</v>
      </c>
    </row>
    <row r="47" customFormat="false" ht="15" hidden="false" customHeight="false" outlineLevel="0" collapsed="false">
      <c r="A47" s="2"/>
      <c r="B47" s="2" t="s">
        <v>366</v>
      </c>
      <c r="C47" s="22" t="n">
        <v>170</v>
      </c>
    </row>
    <row r="48" customFormat="false" ht="15" hidden="false" customHeight="false" outlineLevel="0" collapsed="false">
      <c r="A48" s="2"/>
      <c r="B48" s="10" t="s">
        <v>396</v>
      </c>
      <c r="C48" s="27" t="n">
        <f aca="false">SUM(C42:C47)</f>
        <v>596.64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2026-10-07T14:21:07Z</dcterms:created>
  <dc:creator>openpyxl</dc:creator>
  <dc:description/>
  <dc:language>en-US</dc:language>
  <cp:lastModifiedBy/>
  <dcterms:modified xsi:type="dcterms:W3CDTF">2026-10-07T14:21:07Z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